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 Project\PCP\"/>
    </mc:Choice>
  </mc:AlternateContent>
  <xr:revisionPtr revIDLastSave="0" documentId="13_ncr:1_{2462C9D1-157A-45D7-ABC2-9AB82891B069}" xr6:coauthVersionLast="47" xr6:coauthVersionMax="47" xr10:uidLastSave="{00000000-0000-0000-0000-000000000000}"/>
  <bookViews>
    <workbookView xWindow="-84" yWindow="-13068" windowWidth="23256" windowHeight="12456" xr2:uid="{B1F53E0E-FC21-4DA9-8CAB-A6F2AAC2478D}"/>
  </bookViews>
  <sheets>
    <sheet name="Cal.(DW)" sheetId="1" r:id="rId1"/>
    <sheet name="BOM-(DW)" sheetId="2" r:id="rId2"/>
    <sheet name="BOM-(HA)" sheetId="3" r:id="rId3"/>
  </sheets>
  <definedNames>
    <definedName name="_xlnm._FilterDatabase" localSheetId="1" hidden="1">'BOM-(DW)'!$A$8:$J$63</definedName>
    <definedName name="_xlnm._FilterDatabase" localSheetId="2" hidden="1">'BOM-(HA)'!$A$2:$H$50</definedName>
    <definedName name="_xlnm._FilterDatabase" localSheetId="0" hidden="1">'Cal.(DW)'!$A$9:$F$213</definedName>
    <definedName name="_Toc40480675" localSheetId="0">'Cal.(DW)'!$C$157</definedName>
    <definedName name="AJB_12T" localSheetId="2">#REF!</definedName>
    <definedName name="coupon" localSheetId="0">#REF!</definedName>
    <definedName name="coupon">#REF!</definedName>
    <definedName name="cpts" localSheetId="0">#REF!</definedName>
    <definedName name="cpts">#REF!</definedName>
    <definedName name="DPTS" localSheetId="2">#REF!</definedName>
    <definedName name="fence100" localSheetId="0">#REF!</definedName>
    <definedName name="fence100">#REF!</definedName>
    <definedName name="fence48" localSheetId="0">#REF!</definedName>
    <definedName name="fence48">#REF!</definedName>
    <definedName name="fence60" localSheetId="0">#REF!</definedName>
    <definedName name="fence60">#REF!</definedName>
    <definedName name="hdd100lb" localSheetId="0">#REF!</definedName>
    <definedName name="hdd100lb">#REF!</definedName>
    <definedName name="hdd48lb" localSheetId="0">#REF!</definedName>
    <definedName name="hdd48lb">#REF!</definedName>
    <definedName name="hdd60lb" localSheetId="0">#REF!</definedName>
    <definedName name="hdd60lb">#REF!</definedName>
    <definedName name="Isolation" localSheetId="0">#REF!</definedName>
    <definedName name="Isolation">#REF!</definedName>
    <definedName name="linec" localSheetId="0">#REF!</definedName>
    <definedName name="linec">#REF!</definedName>
    <definedName name="NJB_5T" localSheetId="2">#REF!</definedName>
    <definedName name="OHL" localSheetId="0">#REF!</definedName>
    <definedName name="OHL">#REF!</definedName>
    <definedName name="Parapl" localSheetId="0">#REF!</definedName>
    <definedName name="Parapl">#REF!</definedName>
    <definedName name="Parapl3t">#REF!</definedName>
    <definedName name="Parapl5t">#REF!</definedName>
    <definedName name="PLcros2t" localSheetId="0">#REF!</definedName>
    <definedName name="PLcros2t">#REF!</definedName>
    <definedName name="PLcros3t" localSheetId="0">#REF!</definedName>
    <definedName name="PLcros3t">#REF!</definedName>
    <definedName name="PLcros5t" localSheetId="0">#REF!</definedName>
    <definedName name="PLcros5t">#REF!</definedName>
    <definedName name="PLpara" localSheetId="0">#REF!</definedName>
    <definedName name="PLpara">#REF!</definedName>
    <definedName name="_xlnm.Print_Area" localSheetId="1">'BOM-(DW)'!$A$3:$G$63</definedName>
    <definedName name="_xlnm.Print_Area" localSheetId="0">'Cal.(DW)'!$A$1:$J$214</definedName>
    <definedName name="_xlnm.Print_Titles" localSheetId="1">'BOM-(DW)'!$A:$F,'BOM-(DW)'!$8:$9</definedName>
    <definedName name="_xlnm.Print_Titles" localSheetId="0">'Cal.(DW)'!$1:$8</definedName>
    <definedName name="road100" localSheetId="0">#REF!</definedName>
    <definedName name="road100">#REF!</definedName>
    <definedName name="road1pin" localSheetId="0">#REF!</definedName>
    <definedName name="road1pin">#REF!</definedName>
    <definedName name="road48" localSheetId="0">#REF!</definedName>
    <definedName name="road48">#REF!</definedName>
    <definedName name="road60" localSheetId="0">#REF!</definedName>
    <definedName name="road60">#REF!</definedName>
    <definedName name="singlepin" localSheetId="0">#REF!</definedName>
    <definedName name="singlepin">#REF!</definedName>
    <definedName name="smart" localSheetId="0">#REF!</definedName>
    <definedName name="smart">#REF!</definedName>
    <definedName name="TCP60lb" localSheetId="0">#REF!</definedName>
    <definedName name="TCP60lb">#REF!</definedName>
    <definedName name="thrust60lb" localSheetId="0">#REF!</definedName>
    <definedName name="thrust60lb">#REF!</definedName>
    <definedName name="TL100lb">#REF!</definedName>
    <definedName name="tl48lb">#REF!</definedName>
    <definedName name="tl60lb">#REF!</definedName>
    <definedName name="TRU_100V25A" localSheetId="2">#REF!</definedName>
    <definedName name="valve" localSheetId="0">#REF!</definedName>
    <definedName name="valve">#REF!</definedName>
    <definedName name="wadi6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9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3" i="3"/>
  <c r="A23" i="3"/>
  <c r="G22" i="3"/>
  <c r="G21" i="3"/>
  <c r="G17" i="3"/>
  <c r="G16" i="3"/>
  <c r="G15" i="3"/>
  <c r="G14" i="3"/>
  <c r="G13" i="3"/>
  <c r="G12" i="3"/>
  <c r="G11" i="3"/>
  <c r="G10" i="3"/>
  <c r="G9" i="3"/>
  <c r="G7" i="3"/>
  <c r="A7" i="3"/>
  <c r="A9" i="3" s="1"/>
  <c r="G6" i="3"/>
  <c r="A6" i="3"/>
  <c r="G5" i="3"/>
  <c r="G4" i="3"/>
  <c r="I62" i="2"/>
  <c r="F62" i="2"/>
  <c r="I61" i="2"/>
  <c r="F61" i="2"/>
  <c r="I60" i="2"/>
  <c r="F60" i="2"/>
  <c r="I59" i="2"/>
  <c r="F59" i="2"/>
  <c r="I58" i="2"/>
  <c r="G58" i="2"/>
  <c r="F58" i="2" s="1"/>
  <c r="G57" i="2"/>
  <c r="I57" i="2" s="1"/>
  <c r="G56" i="2"/>
  <c r="I56" i="2" s="1"/>
  <c r="F56" i="2"/>
  <c r="I55" i="2"/>
  <c r="G55" i="2"/>
  <c r="F55" i="2"/>
  <c r="I54" i="2"/>
  <c r="G54" i="2"/>
  <c r="F54" i="2" s="1"/>
  <c r="I53" i="2"/>
  <c r="F53" i="2"/>
  <c r="G50" i="2"/>
  <c r="F50" i="2" s="1"/>
  <c r="I47" i="2"/>
  <c r="G47" i="2"/>
  <c r="F47" i="2"/>
  <c r="I46" i="2"/>
  <c r="F46" i="2"/>
  <c r="I45" i="2"/>
  <c r="F45" i="2"/>
  <c r="I44" i="2"/>
  <c r="F44" i="2"/>
  <c r="I43" i="2"/>
  <c r="F43" i="2"/>
  <c r="I42" i="2"/>
  <c r="F42" i="2"/>
  <c r="G41" i="2"/>
  <c r="F41" i="2"/>
  <c r="I40" i="2"/>
  <c r="F40" i="2"/>
  <c r="G38" i="2"/>
  <c r="F38" i="2"/>
  <c r="G36" i="2"/>
  <c r="G37" i="2" s="1"/>
  <c r="I35" i="2"/>
  <c r="F35" i="2"/>
  <c r="I34" i="2"/>
  <c r="F34" i="2"/>
  <c r="I33" i="2"/>
  <c r="F33" i="2"/>
  <c r="A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C21" i="2"/>
  <c r="I19" i="2"/>
  <c r="G19" i="2"/>
  <c r="F19" i="2"/>
  <c r="I18" i="2"/>
  <c r="G18" i="2"/>
  <c r="F18" i="2" s="1"/>
  <c r="G17" i="2"/>
  <c r="F17" i="2"/>
  <c r="I16" i="2"/>
  <c r="F16" i="2"/>
  <c r="I15" i="2"/>
  <c r="F15" i="2"/>
  <c r="I14" i="2"/>
  <c r="F14" i="2"/>
  <c r="I13" i="2"/>
  <c r="F13" i="2"/>
  <c r="I12" i="2"/>
  <c r="F12" i="2"/>
  <c r="I11" i="2"/>
  <c r="F11" i="2"/>
  <c r="G9" i="2"/>
  <c r="G6" i="2"/>
  <c r="G5" i="2" a="1"/>
  <c r="G5" i="2" s="1"/>
  <c r="I211" i="1"/>
  <c r="F211" i="1"/>
  <c r="I210" i="1"/>
  <c r="I212" i="1" s="1"/>
  <c r="I213" i="1" s="1"/>
  <c r="E38" i="3" s="1" a="1"/>
  <c r="E38" i="3" s="1"/>
  <c r="G38" i="3" s="1"/>
  <c r="I208" i="1"/>
  <c r="F208" i="1"/>
  <c r="I203" i="1"/>
  <c r="I205" i="1" s="1"/>
  <c r="I206" i="1" s="1"/>
  <c r="F203" i="1"/>
  <c r="I202" i="1"/>
  <c r="F202" i="1"/>
  <c r="F204" i="1" s="1"/>
  <c r="I197" i="1"/>
  <c r="F197" i="1"/>
  <c r="I191" i="1"/>
  <c r="F191" i="1"/>
  <c r="I190" i="1"/>
  <c r="F190" i="1"/>
  <c r="I189" i="1"/>
  <c r="F189" i="1"/>
  <c r="I182" i="1"/>
  <c r="F182" i="1"/>
  <c r="I177" i="1"/>
  <c r="I184" i="1" s="1"/>
  <c r="F177" i="1"/>
  <c r="I176" i="1"/>
  <c r="I183" i="1" s="1"/>
  <c r="F176" i="1"/>
  <c r="F183" i="1" s="1"/>
  <c r="I175" i="1"/>
  <c r="F175" i="1"/>
  <c r="I170" i="1"/>
  <c r="F170" i="1"/>
  <c r="I168" i="1"/>
  <c r="F168" i="1"/>
  <c r="G2" i="2" s="1"/>
  <c r="I167" i="1"/>
  <c r="F167" i="1"/>
  <c r="I165" i="1"/>
  <c r="F165" i="1"/>
  <c r="I160" i="1"/>
  <c r="F160" i="1"/>
  <c r="I158" i="1"/>
  <c r="F158" i="1"/>
  <c r="I151" i="1"/>
  <c r="F151" i="1"/>
  <c r="F149" i="1"/>
  <c r="F154" i="1" s="1"/>
  <c r="I147" i="1"/>
  <c r="I149" i="1" s="1"/>
  <c r="I154" i="1" s="1"/>
  <c r="F147" i="1"/>
  <c r="I146" i="1"/>
  <c r="F146" i="1"/>
  <c r="I140" i="1"/>
  <c r="F140" i="1"/>
  <c r="F141" i="1" s="1"/>
  <c r="F153" i="1" s="1"/>
  <c r="I138" i="1"/>
  <c r="F138" i="1"/>
  <c r="I134" i="1"/>
  <c r="F134" i="1"/>
  <c r="I127" i="1"/>
  <c r="F127" i="1"/>
  <c r="I120" i="1"/>
  <c r="I119" i="1"/>
  <c r="I118" i="1"/>
  <c r="I117" i="1"/>
  <c r="I116" i="1"/>
  <c r="I115" i="1"/>
  <c r="I114" i="1"/>
  <c r="I113" i="1"/>
  <c r="I110" i="1"/>
  <c r="I106" i="1"/>
  <c r="I105" i="1"/>
  <c r="I104" i="1"/>
  <c r="I103" i="1"/>
  <c r="I102" i="1"/>
  <c r="I101" i="1"/>
  <c r="I90" i="1"/>
  <c r="I112" i="1" s="1"/>
  <c r="I89" i="1"/>
  <c r="I111" i="1" s="1"/>
  <c r="I88" i="1"/>
  <c r="I87" i="1"/>
  <c r="I109" i="1" s="1"/>
  <c r="I86" i="1"/>
  <c r="I108" i="1" s="1"/>
  <c r="I85" i="1"/>
  <c r="I107" i="1" s="1"/>
  <c r="F79" i="1"/>
  <c r="F101" i="1" s="1"/>
  <c r="I77" i="1"/>
  <c r="F77" i="1"/>
  <c r="I73" i="1"/>
  <c r="F73" i="1"/>
  <c r="I72" i="1"/>
  <c r="I70" i="1"/>
  <c r="I69" i="1"/>
  <c r="I68" i="1"/>
  <c r="F68" i="1"/>
  <c r="I67" i="1"/>
  <c r="F67" i="1"/>
  <c r="I65" i="1"/>
  <c r="F65" i="1"/>
  <c r="I71" i="1"/>
  <c r="F71" i="1"/>
  <c r="I57" i="1"/>
  <c r="I49" i="1"/>
  <c r="I45" i="1"/>
  <c r="F45" i="1"/>
  <c r="I41" i="1"/>
  <c r="I42" i="1" s="1"/>
  <c r="F41" i="1"/>
  <c r="I38" i="1"/>
  <c r="F38" i="1"/>
  <c r="F42" i="1" s="1"/>
  <c r="I37" i="1"/>
  <c r="F37" i="1"/>
  <c r="I33" i="1"/>
  <c r="F33" i="1"/>
  <c r="G22" i="1"/>
  <c r="F22" i="1"/>
  <c r="G19" i="1"/>
  <c r="G21" i="1" s="1"/>
  <c r="G23" i="1" s="1"/>
  <c r="G24" i="1" s="1"/>
  <c r="F19" i="1"/>
  <c r="F21" i="1" s="1"/>
  <c r="F23" i="1" s="1"/>
  <c r="F24" i="1" s="1"/>
  <c r="G13" i="1"/>
  <c r="F13" i="1"/>
  <c r="G9" i="1"/>
  <c r="F9" i="1"/>
  <c r="F178" i="1" l="1"/>
  <c r="I121" i="1" a="1"/>
  <c r="I121" i="1" s="1"/>
  <c r="I126" i="1" s="1"/>
  <c r="I185" i="1"/>
  <c r="I204" i="1"/>
  <c r="F205" i="1"/>
  <c r="F206" i="1" s="1"/>
  <c r="F184" i="1"/>
  <c r="F185" i="1" s="1"/>
  <c r="I141" i="1"/>
  <c r="I153" i="1" s="1"/>
  <c r="F49" i="1"/>
  <c r="K70" i="1"/>
  <c r="I75" i="1"/>
  <c r="I129" i="1" s="1"/>
  <c r="I192" i="1"/>
  <c r="I193" i="1" s="1"/>
  <c r="I195" i="1" s="1"/>
  <c r="F192" i="1"/>
  <c r="F193" i="1" s="1"/>
  <c r="F195" i="1" s="1"/>
  <c r="I29" i="1"/>
  <c r="I31" i="1" s="1"/>
  <c r="F29" i="1"/>
  <c r="F31" i="1" s="1"/>
  <c r="F37" i="2"/>
  <c r="F96" i="1"/>
  <c r="F118" i="1" s="1"/>
  <c r="A21" i="3"/>
  <c r="A22" i="3" s="1"/>
  <c r="F97" i="1"/>
  <c r="F119" i="1" s="1"/>
  <c r="F80" i="1"/>
  <c r="F98" i="1"/>
  <c r="F120" i="1" s="1"/>
  <c r="I178" i="1"/>
  <c r="G52" i="2"/>
  <c r="F93" i="1"/>
  <c r="F115" i="1" s="1"/>
  <c r="I50" i="2"/>
  <c r="F88" i="1"/>
  <c r="F81" i="1"/>
  <c r="F82" i="1" s="1"/>
  <c r="F36" i="2"/>
  <c r="F57" i="2"/>
  <c r="F90" i="1"/>
  <c r="G1" i="2"/>
  <c r="I36" i="2"/>
  <c r="F94" i="1"/>
  <c r="F116" i="1" s="1"/>
  <c r="F55" i="1"/>
  <c r="I143" i="1" l="1"/>
  <c r="I166" i="1" s="1"/>
  <c r="I171" i="1" s="1"/>
  <c r="F74" i="1"/>
  <c r="F91" i="1"/>
  <c r="F113" i="1" s="1"/>
  <c r="F92" i="1"/>
  <c r="F114" i="1" s="1"/>
  <c r="F89" i="1"/>
  <c r="F111" i="1" s="1"/>
  <c r="F95" i="1"/>
  <c r="F117" i="1" s="1"/>
  <c r="C24" i="2"/>
  <c r="F104" i="1"/>
  <c r="F83" i="1"/>
  <c r="C31" i="2"/>
  <c r="C30" i="2"/>
  <c r="F110" i="1"/>
  <c r="I152" i="1"/>
  <c r="I156" i="1" s="1"/>
  <c r="I172" i="1"/>
  <c r="I173" i="1" s="1"/>
  <c r="G7" i="2"/>
  <c r="G51" i="2" s="1"/>
  <c r="F72" i="1"/>
  <c r="F75" i="1" s="1"/>
  <c r="F129" i="1" s="1"/>
  <c r="F57" i="1"/>
  <c r="F56" i="1" s="1"/>
  <c r="F210" i="1"/>
  <c r="F212" i="1" s="1"/>
  <c r="F213" i="1" s="1"/>
  <c r="G49" i="2" s="1"/>
  <c r="F103" i="1"/>
  <c r="C23" i="2"/>
  <c r="I52" i="2"/>
  <c r="F52" i="2"/>
  <c r="C32" i="2"/>
  <c r="F112" i="1"/>
  <c r="F102" i="1"/>
  <c r="C22" i="2"/>
  <c r="I51" i="2" l="1"/>
  <c r="F51" i="2"/>
  <c r="I186" i="1"/>
  <c r="I187" i="1" s="1"/>
  <c r="I179" i="1"/>
  <c r="I180" i="1" s="1"/>
  <c r="I159" i="1"/>
  <c r="I161" i="1" s="1"/>
  <c r="F105" i="1"/>
  <c r="C25" i="2"/>
  <c r="F84" i="1"/>
  <c r="F172" i="1"/>
  <c r="F152" i="1"/>
  <c r="F156" i="1" s="1"/>
  <c r="I49" i="2"/>
  <c r="F49" i="2"/>
  <c r="F186" i="1" l="1"/>
  <c r="F187" i="1" s="1"/>
  <c r="F179" i="1"/>
  <c r="F180" i="1" s="1"/>
  <c r="F159" i="1"/>
  <c r="F161" i="1" s="1"/>
  <c r="F85" i="1"/>
  <c r="F106" i="1"/>
  <c r="C26" i="2"/>
  <c r="F107" i="1" l="1"/>
  <c r="C27" i="2"/>
  <c r="F86" i="1"/>
  <c r="C28" i="2" l="1"/>
  <c r="F108" i="1"/>
  <c r="F87" i="1"/>
  <c r="F109" i="1" l="1"/>
  <c r="F121" i="1" s="1" a="1"/>
  <c r="F121" i="1" s="1"/>
  <c r="C29" i="2"/>
  <c r="F143" i="1" l="1"/>
  <c r="F166" i="1" s="1"/>
  <c r="F171" i="1" s="1"/>
  <c r="F173" i="1" s="1"/>
  <c r="F126" i="1"/>
  <c r="A3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<sst xmlns="http://schemas.openxmlformats.org/spreadsheetml/2006/main" count="793" uniqueCount="383">
  <si>
    <t xml:space="preserve">PERMANENT CP SYSTEM CALCULATIONS
</t>
  </si>
  <si>
    <t xml:space="preserve"> ICCP System Description</t>
  </si>
  <si>
    <t>Client</t>
  </si>
  <si>
    <t>ECP25-0292-ICCP HAJAR IPP</t>
  </si>
  <si>
    <t>End Client</t>
  </si>
  <si>
    <t>-</t>
  </si>
  <si>
    <t>Project Name</t>
  </si>
  <si>
    <t>PERMANENT CATHODIC PROTECTION OF HAJAR IPP</t>
  </si>
  <si>
    <t>Pipeline Name</t>
  </si>
  <si>
    <t>48" Gas Sales P/L -Tie In</t>
  </si>
  <si>
    <t>48" Gas Sales P/L-Main</t>
  </si>
  <si>
    <t>S.No.</t>
  </si>
  <si>
    <t>Description</t>
  </si>
  <si>
    <t>Symbols</t>
  </si>
  <si>
    <t>Unit</t>
  </si>
  <si>
    <t>1) PIPELINE DESIGN PARAM. &amp; CURRENT REQUIRMENTS</t>
  </si>
  <si>
    <t>Pipeline Input Details</t>
  </si>
  <si>
    <t>Pipeline Diameter</t>
  </si>
  <si>
    <t>inch</t>
  </si>
  <si>
    <t>D</t>
  </si>
  <si>
    <t>m</t>
  </si>
  <si>
    <t>Pipeline Thickness</t>
  </si>
  <si>
    <t>Operating Temperature</t>
  </si>
  <si>
    <t>Deg °C</t>
  </si>
  <si>
    <t>Pipeline Current req. Cal.</t>
  </si>
  <si>
    <t>Pipeline Section Start</t>
  </si>
  <si>
    <t>Pipeline Section end</t>
  </si>
  <si>
    <t>Pipeline Section length</t>
  </si>
  <si>
    <t>L</t>
  </si>
  <si>
    <t xml:space="preserve">Current density </t>
  </si>
  <si>
    <t>mA/sq.m</t>
  </si>
  <si>
    <t>Pipeline Surface area</t>
  </si>
  <si>
    <t>A</t>
  </si>
  <si>
    <t>Sq.m</t>
  </si>
  <si>
    <t>Current density at operating temperature</t>
  </si>
  <si>
    <t>i</t>
  </si>
  <si>
    <t>mA /sq.m</t>
  </si>
  <si>
    <t>Total Current required for PCP</t>
  </si>
  <si>
    <r>
      <t>I</t>
    </r>
    <r>
      <rPr>
        <vertAlign val="subscript"/>
        <sz val="12"/>
        <color rgb="FF000000"/>
        <rFont val="Calibri"/>
        <family val="2"/>
      </rPr>
      <t>req.</t>
    </r>
  </si>
  <si>
    <t>Amps.</t>
  </si>
  <si>
    <t>Total current required at 30% spare 
( Pipeline Current Req. +30% Spare Current)</t>
  </si>
  <si>
    <t xml:space="preserve"> </t>
  </si>
  <si>
    <t xml:space="preserve"> Notations</t>
  </si>
  <si>
    <t>Meter</t>
  </si>
  <si>
    <t>Total current required at 30% spare</t>
  </si>
  <si>
    <r>
      <t>I</t>
    </r>
    <r>
      <rPr>
        <vertAlign val="subscript"/>
        <sz val="12"/>
        <color rgb="FF000000"/>
        <rFont val="Calibri"/>
        <family val="2"/>
        <scheme val="minor"/>
      </rPr>
      <t>r</t>
    </r>
  </si>
  <si>
    <t>Amps</t>
  </si>
  <si>
    <t>2) Anode Requirement ParaM. (High-Silicon Cast Iron TA-4)</t>
  </si>
  <si>
    <t>ICCP Sation-1 @KM 00+000
(Launcher)</t>
  </si>
  <si>
    <t>ICCP Sation-2 @KM 41+488
(At Scraper Receiver)</t>
  </si>
  <si>
    <t>ICCP Anode type</t>
  </si>
  <si>
    <t>High-Silicon Cast Iron (TA-4)</t>
  </si>
  <si>
    <r>
      <t>I</t>
    </r>
    <r>
      <rPr>
        <vertAlign val="subscript"/>
        <sz val="12"/>
        <color rgb="FF000000"/>
        <rFont val="Calibri"/>
        <family val="2"/>
        <scheme val="minor"/>
      </rPr>
      <t>req.</t>
    </r>
  </si>
  <si>
    <t>Amp.</t>
  </si>
  <si>
    <t>Anode current output (3.56A for TA4 for 25 years)</t>
  </si>
  <si>
    <r>
      <t>I</t>
    </r>
    <r>
      <rPr>
        <vertAlign val="subscript"/>
        <sz val="12"/>
        <color rgb="FF000000"/>
        <rFont val="Calibri"/>
        <family val="2"/>
        <scheme val="minor"/>
      </rPr>
      <t>a</t>
    </r>
  </si>
  <si>
    <t>No. of anodes based on current</t>
  </si>
  <si>
    <t>Each</t>
  </si>
  <si>
    <t>TR current rating**</t>
  </si>
  <si>
    <t>No of anodes based on TR rating</t>
  </si>
  <si>
    <t>Proposed Anode</t>
  </si>
  <si>
    <t>3) Cathodic Protection System Lifetime</t>
  </si>
  <si>
    <t>Proposed Number of Anodes</t>
  </si>
  <si>
    <t>N</t>
  </si>
  <si>
    <t>Ea</t>
  </si>
  <si>
    <t>Single Anode Weight</t>
  </si>
  <si>
    <t>W</t>
  </si>
  <si>
    <t>kg</t>
  </si>
  <si>
    <t>Consumption Rate</t>
  </si>
  <si>
    <t>C</t>
  </si>
  <si>
    <t>Kg/A-Y</t>
  </si>
  <si>
    <t>TR current rating(Amps)</t>
  </si>
  <si>
    <t>Design Life time &gt; 25</t>
  </si>
  <si>
    <t>Y</t>
  </si>
  <si>
    <t>Proposed anodes are complying with 25 years design life</t>
  </si>
  <si>
    <t>Yes</t>
  </si>
  <si>
    <t>4)  Anode Configuration</t>
  </si>
  <si>
    <t>Anodebed-1 : Deepwell</t>
  </si>
  <si>
    <t>Anodebed-1: Shallow Vertical</t>
  </si>
  <si>
    <t>Type of Proposed Anodebed</t>
  </si>
  <si>
    <t>Deepwell Anodebed</t>
  </si>
  <si>
    <t>Shallow Vertical</t>
  </si>
  <si>
    <t xml:space="preserve">Starting depth /Inactive depth </t>
  </si>
  <si>
    <t xml:space="preserve">No of anodes </t>
  </si>
  <si>
    <t>Length of each anodes</t>
  </si>
  <si>
    <t>Distance from top of first column to first anode</t>
  </si>
  <si>
    <t>Anode end to end spacing</t>
  </si>
  <si>
    <t>Last anode to end coke spacing -Coke coverage above anode</t>
  </si>
  <si>
    <t>Bottom Cement Plug</t>
  </si>
  <si>
    <t>Active column length</t>
  </si>
  <si>
    <t>End of coke column</t>
  </si>
  <si>
    <t>Total Drilling depth</t>
  </si>
  <si>
    <t>Diameter of Borehole</t>
  </si>
  <si>
    <t>Soil Resistivity for Active Length</t>
  </si>
  <si>
    <t>ohm.cm</t>
  </si>
  <si>
    <t>Maximum allowable Drilling Depth (from water division department, Appendix-3)</t>
  </si>
  <si>
    <t>Total Drilling depth is less than Maximum drilling depth</t>
  </si>
  <si>
    <t>Not Available*</t>
  </si>
  <si>
    <t>Not Required</t>
  </si>
  <si>
    <t>*Refer Appendix-3 for Maximum drilling depth data is available with Groundwater Protection Division.</t>
  </si>
  <si>
    <t>5) Anode Groundbed Resistance(Deepwell)</t>
  </si>
  <si>
    <t>Anodebed-1</t>
  </si>
  <si>
    <t>Installation start depth from grade level (cm)</t>
  </si>
  <si>
    <t>cm</t>
  </si>
  <si>
    <t>Anode length</t>
  </si>
  <si>
    <t>Total number of anode  holes</t>
  </si>
  <si>
    <t>S</t>
  </si>
  <si>
    <t>Lengh  of anode</t>
  </si>
  <si>
    <t>Soil resistivity</t>
  </si>
  <si>
    <t>ρ</t>
  </si>
  <si>
    <t>Anode bed active column length</t>
  </si>
  <si>
    <r>
      <t>L</t>
    </r>
    <r>
      <rPr>
        <vertAlign val="subscript"/>
        <sz val="12"/>
        <color rgb="FF000000"/>
        <rFont val="Calibri"/>
        <family val="2"/>
        <scheme val="minor"/>
      </rPr>
      <t>a</t>
    </r>
  </si>
  <si>
    <t>Anode bed active column diameter (cm)</t>
  </si>
  <si>
    <r>
      <t>D</t>
    </r>
    <r>
      <rPr>
        <vertAlign val="subscript"/>
        <sz val="12"/>
        <color rgb="FF000000"/>
        <rFont val="Calibri"/>
        <family val="2"/>
        <scheme val="minor"/>
      </rPr>
      <t xml:space="preserve">a, </t>
    </r>
    <r>
      <rPr>
        <sz val="12"/>
        <color rgb="FF000000"/>
        <rFont val="Calibri"/>
        <family val="2"/>
        <scheme val="minor"/>
      </rPr>
      <t>d</t>
    </r>
  </si>
  <si>
    <t>Number of anode per hole</t>
  </si>
  <si>
    <t>Anode bed resistance</t>
  </si>
  <si>
    <r>
      <t>R</t>
    </r>
    <r>
      <rPr>
        <vertAlign val="subscript"/>
        <sz val="12"/>
        <color rgb="FF000000"/>
        <rFont val="Calibri"/>
        <family val="2"/>
        <scheme val="minor"/>
      </rPr>
      <t>G</t>
    </r>
  </si>
  <si>
    <t>ohm</t>
  </si>
  <si>
    <t>6) Cable Resistance</t>
  </si>
  <si>
    <t>Sr.N.</t>
  </si>
  <si>
    <t>Length of Anode Tail cable</t>
  </si>
  <si>
    <t>r (Ω/m)</t>
  </si>
  <si>
    <t>Length of Anode 1 Cable-16mm²</t>
  </si>
  <si>
    <t>Length of Anode 2 Cable-16mm²</t>
  </si>
  <si>
    <t>Length of Anode 3 Cable-16mm²</t>
  </si>
  <si>
    <t>Length of Anode 4 Cable-16mm²</t>
  </si>
  <si>
    <t>Length of Anode 5 Cable-16mm²</t>
  </si>
  <si>
    <t>Length of Anode 6 Cable-16mm²</t>
  </si>
  <si>
    <t>Length of Anode 7 Cable-16mm²</t>
  </si>
  <si>
    <t>Length of Anode 8 Cable-16mm²</t>
  </si>
  <si>
    <t>Length of Anode 9 Cable-16mm²</t>
  </si>
  <si>
    <t>Length of Anode 10 Cable-16mm²</t>
  </si>
  <si>
    <t>Length of Anode 11 Cable-16mm²</t>
  </si>
  <si>
    <t>Length of Anode 12 Cable-16mm²</t>
  </si>
  <si>
    <t>Length of Anode 13 Cable-16mm²</t>
  </si>
  <si>
    <t>Length of Anode 14 Cable-16mm²</t>
  </si>
  <si>
    <t>Length of Anode 15 Cable-16mm²</t>
  </si>
  <si>
    <t>Length of Anode 16 Cable-16mm²</t>
  </si>
  <si>
    <t>Length of Anode 17 Cable-16mm²</t>
  </si>
  <si>
    <t>Length of Anode 18 Cable-16mm²</t>
  </si>
  <si>
    <t>Length of Anode 19 Cable-16mm²</t>
  </si>
  <si>
    <t>Length of Anode 20 Cable-16mm²</t>
  </si>
  <si>
    <t>Positive Circuit Resistance</t>
  </si>
  <si>
    <t>Length (m)</t>
  </si>
  <si>
    <t>Resistance of Anode 1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</si>
  <si>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ac1</t>
    </r>
  </si>
  <si>
    <t>ohms</t>
  </si>
  <si>
    <t>Resistance of Anode 2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</si>
  <si>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ac2</t>
    </r>
  </si>
  <si>
    <t>Resistance of Anode 3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</si>
  <si>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ac3</t>
    </r>
  </si>
  <si>
    <t>Resistance of Anode 4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</si>
  <si>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ac4</t>
    </r>
  </si>
  <si>
    <t>Resistance of Anode 5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</si>
  <si>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ac5</t>
    </r>
  </si>
  <si>
    <t>Resistance of Anode 6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</si>
  <si>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ac6</t>
    </r>
  </si>
  <si>
    <t>Resistance of Anode 7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</si>
  <si>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ac7</t>
    </r>
  </si>
  <si>
    <t>Resistance of Anode 8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</si>
  <si>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ac8</t>
    </r>
  </si>
  <si>
    <t>Resistance of Anode 9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</si>
  <si>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ac9</t>
    </r>
  </si>
  <si>
    <t>Resistance of Anode 10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</si>
  <si>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ac10</t>
    </r>
  </si>
  <si>
    <t>Resistance of Anode 11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</si>
  <si>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ac11</t>
    </r>
  </si>
  <si>
    <t>Resistance of Anode 12 Cable-16mm²</t>
  </si>
  <si>
    <r>
      <t>R</t>
    </r>
    <r>
      <rPr>
        <vertAlign val="subscript"/>
        <sz val="11"/>
        <color rgb="FF000000"/>
        <rFont val="Calibri"/>
        <family val="2"/>
        <scheme val="minor"/>
      </rPr>
      <t>ac12</t>
    </r>
  </si>
  <si>
    <t>Resistance of Anode 13 Cable-16mm²</t>
  </si>
  <si>
    <t>Rac13</t>
  </si>
  <si>
    <t>Resistance of Anode 14 Cable-16mm²</t>
  </si>
  <si>
    <t>Rac14</t>
  </si>
  <si>
    <t>Resistance of Anode 15 Cable-16mm²</t>
  </si>
  <si>
    <t>Rac15</t>
  </si>
  <si>
    <t>Rac16</t>
  </si>
  <si>
    <t>Rac17</t>
  </si>
  <si>
    <t>Rac18</t>
  </si>
  <si>
    <t>Rac19</t>
  </si>
  <si>
    <t>Rac20</t>
  </si>
  <si>
    <t xml:space="preserve">Total Anode Cable Resistance  </t>
  </si>
  <si>
    <r>
      <t>R</t>
    </r>
    <r>
      <rPr>
        <vertAlign val="subscript"/>
        <sz val="11"/>
        <color rgb="FF000000"/>
        <rFont val="Calibri"/>
        <family val="2"/>
        <scheme val="minor"/>
      </rPr>
      <t>ac</t>
    </r>
  </si>
  <si>
    <t>Length of Secondary Positive Cable-35mm²</t>
  </si>
  <si>
    <t>Resistance of Secondary Positive Cable-35mm²</t>
  </si>
  <si>
    <t>Anode Tail cable reistance+Secondary Positive Cable-35mm²</t>
  </si>
  <si>
    <t>Combined Anode bed resistance</t>
  </si>
  <si>
    <t>AnodeGroudbed resistance</t>
  </si>
  <si>
    <t>Length of Main Positive Cable-35mm²</t>
  </si>
  <si>
    <t>Resistance of Main Positive Cable-35mm²</t>
  </si>
  <si>
    <r>
      <t>R</t>
    </r>
    <r>
      <rPr>
        <vertAlign val="subscript"/>
        <sz val="12"/>
        <color rgb="FF000000"/>
        <rFont val="Calibri"/>
        <family val="2"/>
        <scheme val="minor"/>
      </rPr>
      <t>pc</t>
    </r>
  </si>
  <si>
    <t>Negative Circuit Resistance</t>
  </si>
  <si>
    <t>Length of  Main Negative Cable-35mm²</t>
  </si>
  <si>
    <t>Resistance of Main Negative Cable-35mm²</t>
  </si>
  <si>
    <r>
      <t>R</t>
    </r>
    <r>
      <rPr>
        <vertAlign val="subscript"/>
        <sz val="12"/>
        <color rgb="FF000000"/>
        <rFont val="Calibri"/>
        <family val="2"/>
        <scheme val="minor"/>
      </rPr>
      <t>nc</t>
    </r>
  </si>
  <si>
    <t>Length of Negative Cable-25mm²</t>
  </si>
  <si>
    <t>Resistance of  Negative Cable-25mm²</t>
  </si>
  <si>
    <r>
      <t>R</t>
    </r>
    <r>
      <rPr>
        <b/>
        <vertAlign val="subscript"/>
        <sz val="12"/>
        <color rgb="FF000000"/>
        <rFont val="Calibri"/>
        <family val="2"/>
        <scheme val="minor"/>
      </rPr>
      <t>nc1</t>
    </r>
  </si>
  <si>
    <t>Total Negative Cables Resistance</t>
  </si>
  <si>
    <t>Total Cable Circuit Resistance</t>
  </si>
  <si>
    <t>Total Cables Resistance</t>
  </si>
  <si>
    <r>
      <t>R</t>
    </r>
    <r>
      <rPr>
        <vertAlign val="subscript"/>
        <sz val="12"/>
        <color rgb="FF000000"/>
        <rFont val="Calibri"/>
        <family val="2"/>
        <scheme val="minor"/>
      </rPr>
      <t>c</t>
    </r>
  </si>
  <si>
    <t>7) Back EMF Resistance</t>
  </si>
  <si>
    <r>
      <t>R</t>
    </r>
    <r>
      <rPr>
        <b/>
        <vertAlign val="subscript"/>
        <sz val="12"/>
        <color rgb="FF000000"/>
        <rFont val="Calibri"/>
        <family val="2"/>
        <scheme val="minor"/>
      </rPr>
      <t>EMF</t>
    </r>
    <r>
      <rPr>
        <b/>
        <sz val="12"/>
        <color rgb="FF000000"/>
        <rFont val="Calibri"/>
        <family val="2"/>
        <scheme val="minor"/>
      </rPr>
      <t xml:space="preserve"> = (2 V) / I</t>
    </r>
    <r>
      <rPr>
        <b/>
        <vertAlign val="subscript"/>
        <sz val="12"/>
        <color rgb="FF000000"/>
        <rFont val="Calibri"/>
        <family val="2"/>
        <scheme val="minor"/>
      </rPr>
      <t>rated</t>
    </r>
  </si>
  <si>
    <t>TR DC rated current</t>
  </si>
  <si>
    <r>
      <t>I</t>
    </r>
    <r>
      <rPr>
        <vertAlign val="subscript"/>
        <sz val="12"/>
        <color rgb="FF000000"/>
        <rFont val="Calibri"/>
        <family val="2"/>
        <scheme val="minor"/>
      </rPr>
      <t>rated</t>
    </r>
  </si>
  <si>
    <t>Back EMF</t>
  </si>
  <si>
    <r>
      <t>E</t>
    </r>
    <r>
      <rPr>
        <vertAlign val="subscript"/>
        <sz val="12"/>
        <color rgb="FF000000"/>
        <rFont val="Calibri"/>
        <family val="2"/>
        <scheme val="minor"/>
      </rPr>
      <t>emf</t>
    </r>
  </si>
  <si>
    <t>V</t>
  </si>
  <si>
    <t xml:space="preserve">Back EMF resistance </t>
  </si>
  <si>
    <r>
      <t>R</t>
    </r>
    <r>
      <rPr>
        <vertAlign val="subscript"/>
        <sz val="12"/>
        <color rgb="FF000000"/>
        <rFont val="Calibri"/>
        <family val="2"/>
        <scheme val="minor"/>
      </rPr>
      <t>emf</t>
    </r>
  </si>
  <si>
    <t>8) Total Circuit Resistance</t>
  </si>
  <si>
    <t>Structure to remote earth resistance</t>
  </si>
  <si>
    <r>
      <t>R</t>
    </r>
    <r>
      <rPr>
        <vertAlign val="subscript"/>
        <sz val="12"/>
        <color rgb="FF000000"/>
        <rFont val="Calibri"/>
        <family val="2"/>
        <scheme val="minor"/>
      </rPr>
      <t>s</t>
    </r>
  </si>
  <si>
    <r>
      <t>Total circuit resistance(R</t>
    </r>
    <r>
      <rPr>
        <vertAlign val="subscript"/>
        <sz val="12"/>
        <color rgb="FF000000"/>
        <rFont val="Calibri"/>
        <family val="2"/>
        <scheme val="minor"/>
      </rPr>
      <t>G</t>
    </r>
    <r>
      <rPr>
        <sz val="12"/>
        <color rgb="FF000000"/>
        <rFont val="Calibri"/>
        <family val="2"/>
        <scheme val="minor"/>
      </rPr>
      <t xml:space="preserve"> + R</t>
    </r>
    <r>
      <rPr>
        <vertAlign val="subscript"/>
        <sz val="12"/>
        <color rgb="FF000000"/>
        <rFont val="Calibri"/>
        <family val="2"/>
        <scheme val="minor"/>
      </rPr>
      <t>c</t>
    </r>
    <r>
      <rPr>
        <sz val="12"/>
        <color rgb="FF000000"/>
        <rFont val="Calibri"/>
        <family val="2"/>
        <scheme val="minor"/>
      </rPr>
      <t>+R</t>
    </r>
    <r>
      <rPr>
        <vertAlign val="subscript"/>
        <sz val="12"/>
        <color rgb="FF000000"/>
        <rFont val="Calibri"/>
        <family val="2"/>
        <scheme val="minor"/>
      </rPr>
      <t>emf</t>
    </r>
    <r>
      <rPr>
        <sz val="12"/>
        <color rgb="FF000000"/>
        <rFont val="Calibri"/>
        <family val="2"/>
        <scheme val="minor"/>
      </rPr>
      <t>+R</t>
    </r>
    <r>
      <rPr>
        <vertAlign val="subscript"/>
        <sz val="12"/>
        <color rgb="FF000000"/>
        <rFont val="Calibri"/>
        <family val="2"/>
        <scheme val="minor"/>
      </rPr>
      <t>s</t>
    </r>
    <r>
      <rPr>
        <sz val="12"/>
        <color rgb="FF000000"/>
        <rFont val="Calibri"/>
        <family val="2"/>
        <scheme val="minor"/>
      </rPr>
      <t>)</t>
    </r>
  </si>
  <si>
    <r>
      <t>R</t>
    </r>
    <r>
      <rPr>
        <vertAlign val="subscript"/>
        <sz val="12"/>
        <color rgb="FF000000"/>
        <rFont val="Calibri"/>
        <family val="2"/>
        <scheme val="minor"/>
      </rPr>
      <t>T</t>
    </r>
  </si>
  <si>
    <t>9) Minimum TR voltage required</t>
  </si>
  <si>
    <t>Total Circuit resistance</t>
  </si>
  <si>
    <t>Proposed TR Current Rating</t>
  </si>
  <si>
    <t>Minimum TR voltage required</t>
  </si>
  <si>
    <t>Proposed TR Voltage rating**</t>
  </si>
  <si>
    <t>10) Maximum allowable Groundbed resistance</t>
  </si>
  <si>
    <r>
      <t>RG</t>
    </r>
    <r>
      <rPr>
        <b/>
        <vertAlign val="subscript"/>
        <sz val="12"/>
        <color rgb="FF000000"/>
        <rFont val="Calibri"/>
        <family val="2"/>
        <scheme val="minor"/>
      </rPr>
      <t>max</t>
    </r>
    <r>
      <rPr>
        <b/>
        <sz val="12"/>
        <color rgb="FF000000"/>
        <rFont val="Calibri"/>
        <family val="2"/>
        <scheme val="minor"/>
      </rPr>
      <t xml:space="preserve">  ≤ {0.7 x [(V</t>
    </r>
    <r>
      <rPr>
        <b/>
        <vertAlign val="subscript"/>
        <sz val="12"/>
        <color rgb="FF000000"/>
        <rFont val="Calibri"/>
        <family val="2"/>
        <scheme val="minor"/>
      </rPr>
      <t>r</t>
    </r>
    <r>
      <rPr>
        <b/>
        <sz val="12"/>
        <color rgb="FF000000"/>
        <rFont val="Calibri"/>
        <family val="2"/>
        <scheme val="minor"/>
      </rPr>
      <t>- EMF) / I]} – R</t>
    </r>
    <r>
      <rPr>
        <b/>
        <vertAlign val="subscript"/>
        <sz val="12"/>
        <color rgb="FF000000"/>
        <rFont val="Calibri"/>
        <family val="2"/>
        <scheme val="minor"/>
      </rPr>
      <t>C</t>
    </r>
    <r>
      <rPr>
        <b/>
        <sz val="12"/>
        <color rgb="FF000000"/>
        <rFont val="Calibri"/>
        <family val="2"/>
        <scheme val="minor"/>
      </rPr>
      <t xml:space="preserve"> – R</t>
    </r>
    <r>
      <rPr>
        <b/>
        <vertAlign val="subscript"/>
        <sz val="12"/>
        <color rgb="FF000000"/>
        <rFont val="Calibri"/>
        <family val="2"/>
        <scheme val="minor"/>
      </rPr>
      <t>S</t>
    </r>
  </si>
  <si>
    <t>Total Cables Circuit Resistance</t>
  </si>
  <si>
    <r>
      <t>R</t>
    </r>
    <r>
      <rPr>
        <vertAlign val="subscript"/>
        <sz val="12"/>
        <color theme="1"/>
        <rFont val="Calibri"/>
        <family val="2"/>
        <scheme val="minor"/>
      </rPr>
      <t>c</t>
    </r>
  </si>
  <si>
    <t>Ohm</t>
  </si>
  <si>
    <t>Proposed Voltage Rating of TR</t>
  </si>
  <si>
    <r>
      <t>V</t>
    </r>
    <r>
      <rPr>
        <vertAlign val="subscript"/>
        <sz val="12"/>
        <color theme="1"/>
        <rFont val="Calibri"/>
        <family val="2"/>
        <scheme val="minor"/>
      </rPr>
      <t>r</t>
    </r>
  </si>
  <si>
    <t>Proposed Current Rating of TR</t>
  </si>
  <si>
    <t>I</t>
  </si>
  <si>
    <t>EMF</t>
  </si>
  <si>
    <t>Structure to earth resistance</t>
  </si>
  <si>
    <r>
      <t>R</t>
    </r>
    <r>
      <rPr>
        <vertAlign val="subscript"/>
        <sz val="12"/>
        <color theme="1"/>
        <rFont val="Calibri"/>
        <family val="2"/>
        <scheme val="minor"/>
      </rPr>
      <t>s</t>
    </r>
  </si>
  <si>
    <t xml:space="preserve">Anode Bed max allowable Resistance </t>
  </si>
  <si>
    <r>
      <t>RG</t>
    </r>
    <r>
      <rPr>
        <vertAlign val="subscript"/>
        <sz val="12"/>
        <color theme="1"/>
        <rFont val="Calibri"/>
        <family val="2"/>
        <scheme val="minor"/>
      </rPr>
      <t>max</t>
    </r>
  </si>
  <si>
    <t xml:space="preserve">Anodebed resistance less than Maximum allowable Resistance </t>
  </si>
  <si>
    <r>
      <t>RTmax = (V</t>
    </r>
    <r>
      <rPr>
        <b/>
        <vertAlign val="subscript"/>
        <sz val="12"/>
        <rFont val="Calibri"/>
        <family val="2"/>
        <scheme val="minor"/>
      </rPr>
      <t>rated</t>
    </r>
    <r>
      <rPr>
        <b/>
        <sz val="12"/>
        <rFont val="Calibri"/>
        <family val="2"/>
        <scheme val="minor"/>
      </rPr>
      <t xml:space="preserve"> /I</t>
    </r>
    <r>
      <rPr>
        <b/>
        <vertAlign val="subscript"/>
        <sz val="12"/>
        <rFont val="Calibri"/>
        <family val="2"/>
        <scheme val="minor"/>
      </rPr>
      <t>rated</t>
    </r>
    <r>
      <rPr>
        <b/>
        <sz val="12"/>
        <rFont val="Calibri"/>
        <family val="2"/>
        <scheme val="minor"/>
      </rPr>
      <t>) x 0.7</t>
    </r>
  </si>
  <si>
    <t>TRU DC rated current</t>
  </si>
  <si>
    <r>
      <t>I</t>
    </r>
    <r>
      <rPr>
        <vertAlign val="subscript"/>
        <sz val="12"/>
        <rFont val="Calibri"/>
        <family val="2"/>
        <scheme val="minor"/>
      </rPr>
      <t>rated</t>
    </r>
  </si>
  <si>
    <t>TR DC rated Voltage</t>
  </si>
  <si>
    <r>
      <rPr>
        <sz val="12"/>
        <rFont val="Calibri"/>
        <family val="2"/>
        <scheme val="minor"/>
      </rPr>
      <t>V</t>
    </r>
    <r>
      <rPr>
        <vertAlign val="subscript"/>
        <sz val="12"/>
        <rFont val="Calibri"/>
        <family val="2"/>
        <scheme val="minor"/>
      </rPr>
      <t>rated</t>
    </r>
  </si>
  <si>
    <t>Maximum allowable Circuit Resistance</t>
  </si>
  <si>
    <r>
      <t>R</t>
    </r>
    <r>
      <rPr>
        <vertAlign val="subscript"/>
        <sz val="12"/>
        <rFont val="Calibri"/>
        <family val="2"/>
        <scheme val="minor"/>
      </rPr>
      <t>tmax</t>
    </r>
  </si>
  <si>
    <t>Total circuit resistance</t>
  </si>
  <si>
    <r>
      <t>R</t>
    </r>
    <r>
      <rPr>
        <vertAlign val="subscript"/>
        <sz val="12"/>
        <rFont val="Calibri"/>
        <family val="2"/>
        <scheme val="minor"/>
      </rPr>
      <t>T</t>
    </r>
  </si>
  <si>
    <t>Total Circuit Resistance is less than maximum allowable ckt Resistance</t>
  </si>
  <si>
    <t>Maximum Allowable Circuit Resistance</t>
  </si>
  <si>
    <r>
      <t>I</t>
    </r>
    <r>
      <rPr>
        <vertAlign val="subscript"/>
        <sz val="12"/>
        <color rgb="FF000000"/>
        <rFont val="Calibri"/>
        <family val="2"/>
        <scheme val="minor"/>
      </rPr>
      <t xml:space="preserve">rated </t>
    </r>
  </si>
  <si>
    <r>
      <t>V</t>
    </r>
    <r>
      <rPr>
        <vertAlign val="subscript"/>
        <sz val="12"/>
        <color rgb="FF000000"/>
        <rFont val="Calibri"/>
        <family val="2"/>
        <scheme val="minor"/>
      </rPr>
      <t>rated</t>
    </r>
  </si>
  <si>
    <t>90 % Rated Ckt Resistance (Max allowable  resistance)</t>
  </si>
  <si>
    <r>
      <t>R</t>
    </r>
    <r>
      <rPr>
        <vertAlign val="subscript"/>
        <sz val="12"/>
        <color rgb="FF000000"/>
        <rFont val="Calibri"/>
        <family val="2"/>
        <scheme val="minor"/>
      </rPr>
      <t>tmax</t>
    </r>
  </si>
  <si>
    <r>
      <t>Total circuit resistance(R</t>
    </r>
    <r>
      <rPr>
        <vertAlign val="subscript"/>
        <sz val="12"/>
        <color rgb="FF000000"/>
        <rFont val="Calibri"/>
        <family val="2"/>
        <scheme val="minor"/>
      </rPr>
      <t>G</t>
    </r>
    <r>
      <rPr>
        <sz val="12"/>
        <color rgb="FF000000"/>
        <rFont val="Calibri"/>
        <family val="2"/>
        <scheme val="minor"/>
      </rPr>
      <t>+R</t>
    </r>
    <r>
      <rPr>
        <vertAlign val="subscript"/>
        <sz val="12"/>
        <color rgb="FF000000"/>
        <rFont val="Calibri"/>
        <family val="2"/>
        <scheme val="minor"/>
      </rPr>
      <t>c</t>
    </r>
    <r>
      <rPr>
        <sz val="12"/>
        <color rgb="FF000000"/>
        <rFont val="Calibri"/>
        <family val="2"/>
        <scheme val="minor"/>
      </rPr>
      <t>+R</t>
    </r>
    <r>
      <rPr>
        <vertAlign val="subscript"/>
        <sz val="12"/>
        <color rgb="FF000000"/>
        <rFont val="Calibri"/>
        <family val="2"/>
        <scheme val="minor"/>
      </rPr>
      <t>emf</t>
    </r>
    <r>
      <rPr>
        <sz val="12"/>
        <color rgb="FF000000"/>
        <rFont val="Calibri"/>
        <family val="2"/>
        <scheme val="minor"/>
      </rPr>
      <t>+R</t>
    </r>
    <r>
      <rPr>
        <vertAlign val="subscript"/>
        <sz val="12"/>
        <color rgb="FF000000"/>
        <rFont val="Calibri"/>
        <family val="2"/>
        <scheme val="minor"/>
      </rPr>
      <t>s</t>
    </r>
    <r>
      <rPr>
        <sz val="12"/>
        <color rgb="FF000000"/>
        <rFont val="Calibri"/>
        <family val="2"/>
        <scheme val="minor"/>
      </rPr>
      <t>)</t>
    </r>
  </si>
  <si>
    <t>Total Circuit Resistance is less than 90% rated resistance</t>
  </si>
  <si>
    <t>11) Anode Groundbed Remoteness</t>
  </si>
  <si>
    <t>Proposed TR Current Rating (A)</t>
  </si>
  <si>
    <t>Measured Soil Resistivity@ Depth of 3 to 6 meter</t>
  </si>
  <si>
    <t>Ohm-cm</t>
  </si>
  <si>
    <t>Required Distance from Anode bed to nearest buried metallic structure(As per SAES-X-400)</t>
  </si>
  <si>
    <t>Actual Distance from Anodebed to nearest buried metallic structure</t>
  </si>
  <si>
    <t>Actual Distance from Anodebed to P/L  &gt; Required Distance from Anode bed to nearest buried metallic structure (As per SAES-X-400)</t>
  </si>
  <si>
    <t>12) AC Power Consumption</t>
  </si>
  <si>
    <t>AC input voltage</t>
  </si>
  <si>
    <r>
      <t>E</t>
    </r>
    <r>
      <rPr>
        <vertAlign val="subscript"/>
        <sz val="12"/>
        <color rgb="FF000000"/>
        <rFont val="Calibri"/>
        <family val="2"/>
        <scheme val="minor"/>
      </rPr>
      <t>ac</t>
    </r>
  </si>
  <si>
    <t>AC input phase</t>
  </si>
  <si>
    <t>% </t>
  </si>
  <si>
    <t>Efficiency</t>
  </si>
  <si>
    <r>
      <t>E</t>
    </r>
    <r>
      <rPr>
        <vertAlign val="subscript"/>
        <sz val="12"/>
        <color rgb="FF000000"/>
        <rFont val="Calibri"/>
        <family val="2"/>
        <scheme val="minor"/>
      </rPr>
      <t>ff</t>
    </r>
  </si>
  <si>
    <t>Power factor</t>
  </si>
  <si>
    <r>
      <t>P</t>
    </r>
    <r>
      <rPr>
        <vertAlign val="subscript"/>
        <sz val="12"/>
        <color rgb="FF000000"/>
        <rFont val="Calibri"/>
        <family val="2"/>
        <scheme val="minor"/>
      </rPr>
      <t>f</t>
    </r>
  </si>
  <si>
    <t xml:space="preserve">DC Power </t>
  </si>
  <si>
    <t>KVA</t>
  </si>
  <si>
    <t>AC input VA=( E x Ir )/(Eff x pf)</t>
  </si>
  <si>
    <t>AC input current= (AC Power (kVA) x1000) / (480x1.732)</t>
  </si>
  <si>
    <r>
      <t>I</t>
    </r>
    <r>
      <rPr>
        <vertAlign val="subscript"/>
        <sz val="12"/>
        <color rgb="FF000000"/>
        <rFont val="Calibri"/>
        <family val="2"/>
        <scheme val="minor"/>
      </rPr>
      <t>ac</t>
    </r>
  </si>
  <si>
    <t>13) Calcined Petroleum Coke Requirement</t>
  </si>
  <si>
    <t>Active Length of Deep Anode Groundbed</t>
  </si>
  <si>
    <t>Diameter of Deep Anode Groundbed hole</t>
  </si>
  <si>
    <t>Number of Calcined Petroleum Coke bag requirements</t>
  </si>
  <si>
    <t>Number of bags required with 10% contingency</t>
  </si>
  <si>
    <t xml:space="preserve">Note : </t>
  </si>
  <si>
    <t>Anodebed location can be updated as per the site requriements</t>
  </si>
  <si>
    <t>VA</t>
  </si>
  <si>
    <t>100V/25A</t>
  </si>
  <si>
    <t>AGB</t>
  </si>
  <si>
    <t>Anode</t>
  </si>
  <si>
    <t>In-active</t>
  </si>
  <si>
    <t>active</t>
  </si>
  <si>
    <t>BUDGETARY BILL OF MATERIAL FOR PERMANENT CP SYSTEM</t>
  </si>
  <si>
    <t>ITEM</t>
  </si>
  <si>
    <t>D E  S C R I P T I O N</t>
  </si>
  <si>
    <t>SAMS NUMBER</t>
  </si>
  <si>
    <t>UNIT</t>
  </si>
  <si>
    <t>Total</t>
  </si>
  <si>
    <t>BILL OF MATERIAL FOR TRU</t>
  </si>
  <si>
    <t>Transformer Rectifier; Manual Controlled (Conventional), Oil Cooled, 480V/3P/60Hz AC Input 100V/35A DC Output, NEMA4X Enclosure C/W Sunshade, conduit with End bushing as per Saudi ARAMCO Standard. 17-SAMSS-004, Equipped with Potential Free Contact for AC Failure Alarm.</t>
  </si>
  <si>
    <t>17-SAMSS-00</t>
  </si>
  <si>
    <t>Transformer Rectifier; Manual Controlled (Conventional), Oil Cooled, 480V/3P/60Hz AC Input 30V/25A DC Output, NEMA4X Enclosure C/W Sunshade, conduit with End bushing as per Saudi ARAMCO Standard. 17-SAMSS-004, Equipped with Potential Free Contact for AC Failure Alarm.</t>
  </si>
  <si>
    <t>17-SAMSS-01</t>
  </si>
  <si>
    <t>Transformer Rectifier; Manual Controlled (Conventional), Oil Cooled, 480V/3P/60Hz AC Input 50V/25A DC Output, NEMA4X Enclosure C/W Sunshade, conduit with End bushing as per Saudi ARAMCO Standard. 17-SAMSS-004, Equipped with Potential Free Contact for AC Failure Alarm.</t>
  </si>
  <si>
    <t>Transformer Rectifier; Manual Controlled (Conventional), Oil Cooled, 480V/3P/60Hz AC Input 50V/50A DC Output, NEMA4X Enclosure C/W Sunshade, conduit with End bushing as per Saudi ARAMCO Standard. 17-SAMSS-004, Equipped with Potential Free Contact for AC Failure Alarm.</t>
  </si>
  <si>
    <t>Transformer Rectifier; Manual Controlled (Conventional), Oil Cooled, 480V/3P/60Hz AC Input100V/50A DC Output, NEMA4X Enclosure C/W Sunshade, conduit with End bushing as per Saudi ARAMCO Standard. 17-SAMSS-004, Equipped with Potential Free Contact for AC Failure Alarm.</t>
  </si>
  <si>
    <t>Transformer Rectifier; Manual Controlled (Conventional), Oil Cooled, 480V/3P/60Hz AC Input100V/75A DC Output, NEMA4X Enclosure C/W Sunshade, conduit with End bushing as per Saudi ARAMCO Standard. 17-SAMSS-004, Equipped with Potential Free Contact for AC Failure Alarm.</t>
  </si>
  <si>
    <t>CP RMU Type-A(For TRU) as per 17-SAMSS-018</t>
  </si>
  <si>
    <t>Transformer Oil (208 Liters / Drum)</t>
  </si>
  <si>
    <t>Drum</t>
  </si>
  <si>
    <t>Three Phase 480V,  AC Disconnecting Switch c/w conduit &amp; support</t>
  </si>
  <si>
    <t xml:space="preserve"> Each</t>
  </si>
  <si>
    <t>BILL OF MATERIAL FOR POSITIVE CIRCUIT</t>
  </si>
  <si>
    <t>17-852-308</t>
  </si>
  <si>
    <t>Cable -35mm² Single core PVDF/HMWPE Insulated</t>
  </si>
  <si>
    <t>17-SAMSS-017</t>
  </si>
  <si>
    <t>M</t>
  </si>
  <si>
    <t>20 – Terminal Anode Junction Box</t>
  </si>
  <si>
    <t>17-SAMSS-008</t>
  </si>
  <si>
    <t>12 – Terminal Anode Junction Box</t>
  </si>
  <si>
    <t>Multi-Purpose Junction Box as per Aramco Std. Drg. 36276</t>
  </si>
  <si>
    <t>Marker Plate, as per aramco Std. Drg. AA-036351 for Anode junction box</t>
  </si>
  <si>
    <t>Marker Plate, as per aramco Std. Drg. AA-036351 for Multi-Purpose Junction Box</t>
  </si>
  <si>
    <t>BILL OF MATERIAL FOR NEGATIVE CIRCUIT</t>
  </si>
  <si>
    <t>5T NEGATIVE JUNCTION BOX- C/W Support&amp; Conduit and Marker Plate as per Aramco std. Dwg. AB-036274</t>
  </si>
  <si>
    <t>Marker Plate, as per aramco Std. Drg. AA-036351 for Negative Junction Box</t>
  </si>
  <si>
    <t>Cable -25mm² Single core HMWPE Insulated</t>
  </si>
  <si>
    <t>Cable -35mm² Single core HMWPE Insulated</t>
  </si>
  <si>
    <t>Cable -10mm² Single core  THHN/ THWN-Measuring connection cable(to RTU)</t>
  </si>
  <si>
    <t>Roll</t>
  </si>
  <si>
    <t>Solid State Stationary Reference Electrode Cu-CuSO4 C/W 6mm THHN/THWN, 150M Length.
(STELTH 2-Model SRE-007-CUY)</t>
  </si>
  <si>
    <t>Single pin Test Station (For Drain Point) as per Aramco Drawing AB-036907 C/W Support, Conduit, and SS tag "Drain point test station".</t>
  </si>
  <si>
    <t>Cable -10mm² Single core  THHN/ THWN-Measuring connection cable(Drain Point TS)</t>
  </si>
  <si>
    <t>BILL OF MATERIAL FOR MESELENIOUS ITEMS</t>
  </si>
  <si>
    <t>Calcined Petroleum Coke Backfill</t>
  </si>
  <si>
    <t>17-855-011</t>
  </si>
  <si>
    <t>Bag</t>
  </si>
  <si>
    <t>PIPE, PVC, 1" DIA., SCH 80, VENTED, NON PERFORATED
(6 METERS CUT LENGTH)</t>
  </si>
  <si>
    <t>01-515-432</t>
  </si>
  <si>
    <t>Ea.</t>
  </si>
  <si>
    <t>PIPE, PVC, 1" DIA., SCH 40, VENTED, PERFORATED
(3 METERS CUT LENGTH)</t>
  </si>
  <si>
    <t>17-890-700</t>
  </si>
  <si>
    <t>CAP, PVC, 1" DIA., SOCKET, SCH40</t>
  </si>
  <si>
    <t>03-704-211</t>
  </si>
  <si>
    <t>PVC Coupling, PVC Cement &amp; Self Tapping Screws.</t>
  </si>
  <si>
    <t>CONTRACTOR</t>
  </si>
  <si>
    <t>Casing Pipe, PVC, 304.8mm SCH 80- 3M Length -1 Nos.
BOLT, STEEL, NPT THREAD, 20MM DIA., 400MM LENGTH; C/W NUT STEEL, NPT THREAD, 20MM DIA &amp; WASHER -2 Set
Pipe, PVC SCH 40, 50mm MIN. DIA. &amp; 30CM length for casing bolt.-2 Set</t>
  </si>
  <si>
    <t>Elbow 90 Deg, PVC, 25mm, SCH40</t>
  </si>
  <si>
    <t>03-723-347</t>
  </si>
  <si>
    <t>Ties, Cable, 4.2mm X 360mm. (Bag of 100)</t>
  </si>
  <si>
    <t>15-525-026</t>
  </si>
  <si>
    <t>Cable markers: Redwood timber 100x100x1350 c/w identification marker and directional marker.</t>
  </si>
  <si>
    <t>09-539-224</t>
  </si>
  <si>
    <t>Warning tape-18" (200m Roll)</t>
  </si>
  <si>
    <t>Nylon rope - 8mm (200m Roll)</t>
  </si>
  <si>
    <t>Thermo weld Mold for CA-15</t>
  </si>
  <si>
    <t>20-512-215</t>
  </si>
  <si>
    <t>Thermo weld charges CA-15</t>
  </si>
  <si>
    <t>20-476-803</t>
  </si>
  <si>
    <t>Charge</t>
  </si>
  <si>
    <t>Coating Repair: APCS-113A, 10 Liter per Can</t>
  </si>
  <si>
    <t>Can</t>
  </si>
  <si>
    <t>BILL OF MATERIAL FOR PERMANENT CP SYSTEM</t>
  </si>
  <si>
    <t>ICCP System#02</t>
  </si>
  <si>
    <t>Remarks</t>
  </si>
  <si>
    <t>Transformer Rectifier; Manual Controlled (Conventional), Oil Cooled, 480V/3P/60Hz AC Input, 50V/35A DC Output, NEMA4X Enclosure C/W Sunshade, conduit with End bushing as per Saudi ARAMCO Standard. 17-SAMSS-004, Equipped with Potential Free Contact for AC Failure Alarm.</t>
  </si>
  <si>
    <t xml:space="preserve"> Anode-1, HSCI, Tubular, TA-4 c/w - 40 M 16mm² PVDF/HMWPE Cable</t>
  </si>
  <si>
    <t xml:space="preserve"> Anode-2, HSCI, Tubular, TA-4 c/w - 40 M 16mm² PVDF/HMWPE Cable</t>
  </si>
  <si>
    <t xml:space="preserve"> Anode-3, HSCI, Tubular, TA-4 c/w - 40 M 16mm² PVDF/HMWPE Cable</t>
  </si>
  <si>
    <t xml:space="preserve"> Anode-4, HSCI, Tubular, TA-4 c/w - 40 M 16mm² PVDF/HMWPE Cable</t>
  </si>
  <si>
    <t xml:space="preserve"> Anode-5, HSCI, Tubular, TA-4 c/w - 30 M 16mm² PVDF/HMWPE Cable</t>
  </si>
  <si>
    <t xml:space="preserve"> Anode-6, HSCI, Tubular, TA-4 c/w - 30 M 16mm² PVDF/HMWPE Cable</t>
  </si>
  <si>
    <t xml:space="preserve"> Anode-7, HSCI, Tubular, TA-4 c/w - 30 M 16mm² PVDF/HMWPE Cable</t>
  </si>
  <si>
    <t xml:space="preserve"> Anode-8, HSCI, Tubular, TA-4 c/w - 30 M 16mm² PVDF/HMWPE Cable</t>
  </si>
  <si>
    <t xml:space="preserve"> Anode-9, HSCI, Tubular, TA-4 c/w - 40 M 16mm² PVDF/HMWPE Cable</t>
  </si>
  <si>
    <t xml:space="preserve"> Anode-10, HSCI, Tubular, TA-4 c/w - 40 M 16mm² PVDF/HMWPE Cable</t>
  </si>
  <si>
    <t xml:space="preserve"> Anode-11, HSCI, Tubular, TA-4 c/w - 40 M 16mm² PVDF/HMWPE Cable</t>
  </si>
  <si>
    <t xml:space="preserve"> Anode-12, HSCI, Tubular, TA-4 c/w - 40 M 16mm² PVDF/HMWPE Cable</t>
  </si>
  <si>
    <r>
      <rPr>
        <sz val="10"/>
        <color rgb="FF000000"/>
        <rFont val="Calibri"/>
        <family val="2"/>
      </rPr>
      <t>12</t>
    </r>
    <r>
      <rPr>
        <sz val="10"/>
        <color rgb="FF000000"/>
        <rFont val="Calibri"/>
        <family val="2"/>
      </rPr>
      <t xml:space="preserve"> – Terminal Anode Junction Box c/w support &amp; conduits Aramco and Marker Plate Dwg. 036275</t>
    </r>
  </si>
  <si>
    <t>IR-Free Probe with one Test Coupons and</t>
  </si>
  <si>
    <t>Primer Solvent welding, PVC to PVC(250ml/can)</t>
  </si>
  <si>
    <t xml:space="preserve"> Pipe, PVC, 25mm NPS, SCH 80, 6M Length.</t>
  </si>
  <si>
    <t>Anode Marker 200 x 200 mm</t>
  </si>
  <si>
    <t>Coupling, 1",PVC,SCH40, For Anode</t>
  </si>
  <si>
    <t>3" Steel Pipe, Paint Coated For Anodebed 100mm Length</t>
  </si>
  <si>
    <t>PIPE, PVC, 4" DIA., SCH 40, VENTED, PERFORATED
(3 METERS CUT LENGTH)</t>
  </si>
  <si>
    <t>Anode Centralizer</t>
  </si>
  <si>
    <t>Warning tape-18” x 200m roll</t>
  </si>
  <si>
    <t>PVC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</si>
</sst>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+000.00"/>
    <numFmt numFmtId="165" formatCode="0.000"/>
    <numFmt numFmtId="167" formatCode="0.0"/>
    <numFmt numFmtId="168" formatCode="[$-409]d\-mmm\-yy;@"/>
    <numFmt numFmtId="169" formatCode="0.0000"/>
    <numFmt numFmtId="170" formatCode="0;\-0;&quot;-&quot;;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i/>
      <u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4F6128"/>
      <name val="Calibri"/>
      <family val="2"/>
    </font>
    <font>
      <vertAlign val="subscript"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vertAlign val="subscript"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vertAlign val="subscript"/>
      <sz val="12"/>
      <name val="Calibri"/>
      <family val="2"/>
      <scheme val="minor"/>
    </font>
    <font>
      <b/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b/>
      <sz val="9"/>
      <color rgb="FFFF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theme="6" tint="0.79998168889431442"/>
        <bgColor rgb="FFDDD9C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rgb="FFF2F2F2"/>
        <bgColor rgb="FFF2F2F2"/>
      </patternFill>
    </fill>
  </fills>
  <borders count="41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indexed="64"/>
      </bottom>
      <diagonal/>
    </border>
    <border>
      <left style="thin">
        <color theme="9"/>
      </left>
      <right/>
      <top style="thin">
        <color indexed="64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 style="thin">
        <color theme="9"/>
      </top>
      <bottom style="medium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indexed="64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7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4" fillId="0" borderId="3" xfId="1" applyFont="1" applyBorder="1"/>
    <xf numFmtId="0" fontId="4" fillId="0" borderId="0" xfId="1" applyFont="1"/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 wrapText="1"/>
    </xf>
    <xf numFmtId="0" fontId="4" fillId="0" borderId="7" xfId="1" applyFont="1" applyBorder="1"/>
    <xf numFmtId="0" fontId="5" fillId="0" borderId="10" xfId="1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/>
    </xf>
    <xf numFmtId="0" fontId="4" fillId="0" borderId="14" xfId="1" applyFont="1" applyBorder="1"/>
    <xf numFmtId="0" fontId="8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4" fillId="0" borderId="0" xfId="0" applyFont="1"/>
    <xf numFmtId="0" fontId="8" fillId="4" borderId="15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5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center"/>
    </xf>
    <xf numFmtId="164" fontId="10" fillId="0" borderId="15" xfId="0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left" vertical="center" wrapText="1"/>
    </xf>
    <xf numFmtId="165" fontId="10" fillId="0" borderId="15" xfId="1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5" fillId="0" borderId="15" xfId="1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/>
    </xf>
    <xf numFmtId="165" fontId="5" fillId="0" borderId="15" xfId="1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2" fillId="5" borderId="15" xfId="0" applyFont="1" applyFill="1" applyBorder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/>
    <xf numFmtId="165" fontId="5" fillId="0" borderId="0" xfId="1" applyNumberFormat="1" applyFont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2" fontId="5" fillId="0" borderId="4" xfId="1" applyNumberFormat="1" applyFont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4" fillId="0" borderId="20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6" borderId="0" xfId="1" applyFont="1" applyFill="1"/>
    <xf numFmtId="1" fontId="5" fillId="7" borderId="22" xfId="1" applyNumberFormat="1" applyFont="1" applyFill="1" applyBorder="1" applyAlignment="1">
      <alignment horizontal="center" vertical="center"/>
    </xf>
    <xf numFmtId="165" fontId="5" fillId="0" borderId="18" xfId="1" applyNumberFormat="1" applyFont="1" applyBorder="1" applyAlignment="1">
      <alignment horizontal="left" vertical="center" wrapText="1"/>
    </xf>
    <xf numFmtId="0" fontId="4" fillId="0" borderId="18" xfId="1" applyFont="1" applyBorder="1"/>
    <xf numFmtId="0" fontId="4" fillId="0" borderId="19" xfId="1" applyFont="1" applyBorder="1"/>
    <xf numFmtId="0" fontId="5" fillId="0" borderId="23" xfId="1" applyFont="1" applyBorder="1" applyAlignment="1">
      <alignment horizontal="center" vertical="center" wrapText="1"/>
    </xf>
    <xf numFmtId="0" fontId="4" fillId="0" borderId="4" xfId="1" applyFont="1" applyBorder="1"/>
    <xf numFmtId="0" fontId="14" fillId="0" borderId="10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0" xfId="1" applyFont="1" applyBorder="1" applyAlignment="1">
      <alignment horizontal="left" vertical="center" indent="25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168" fontId="4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4" xfId="1" applyFont="1" applyBorder="1" applyAlignment="1">
      <alignment horizontal="left" vertical="center" indent="20"/>
    </xf>
    <xf numFmtId="0" fontId="15" fillId="10" borderId="4" xfId="1" applyFont="1" applyFill="1" applyBorder="1" applyAlignment="1">
      <alignment horizontal="left" vertical="center"/>
    </xf>
    <xf numFmtId="0" fontId="15" fillId="10" borderId="4" xfId="1" applyFont="1" applyFill="1" applyBorder="1" applyAlignment="1">
      <alignment horizontal="left" vertical="center" indent="2"/>
    </xf>
    <xf numFmtId="0" fontId="1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15" fillId="10" borderId="4" xfId="1" applyFont="1" applyFill="1" applyBorder="1" applyAlignment="1">
      <alignment horizontal="left" vertical="center" indent="8"/>
    </xf>
    <xf numFmtId="0" fontId="15" fillId="10" borderId="4" xfId="1" applyFont="1" applyFill="1" applyBorder="1" applyAlignment="1">
      <alignment horizontal="left" vertical="center" indent="10"/>
    </xf>
    <xf numFmtId="0" fontId="4" fillId="7" borderId="0" xfId="1" applyFont="1" applyFill="1"/>
    <xf numFmtId="0" fontId="17" fillId="0" borderId="4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15" fillId="10" borderId="4" xfId="1" applyFont="1" applyFill="1" applyBorder="1" applyAlignment="1">
      <alignment horizontal="left" vertical="center" indent="7"/>
    </xf>
    <xf numFmtId="0" fontId="5" fillId="7" borderId="4" xfId="1" applyFont="1" applyFill="1" applyBorder="1" applyAlignment="1">
      <alignment horizontal="left" vertical="center" wrapText="1"/>
    </xf>
    <xf numFmtId="0" fontId="15" fillId="0" borderId="4" xfId="1" applyFont="1" applyBorder="1" applyAlignment="1">
      <alignment horizontal="left" vertical="center" wrapText="1"/>
    </xf>
    <xf numFmtId="0" fontId="15" fillId="0" borderId="4" xfId="1" applyFont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 indent="65"/>
    </xf>
    <xf numFmtId="0" fontId="14" fillId="0" borderId="4" xfId="1" applyFont="1" applyBorder="1" applyAlignment="1">
      <alignment horizontal="left" vertical="center" indent="25"/>
    </xf>
    <xf numFmtId="0" fontId="4" fillId="0" borderId="10" xfId="1" applyFont="1" applyBorder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1" fillId="0" borderId="0" xfId="1"/>
    <xf numFmtId="0" fontId="1" fillId="0" borderId="0" xfId="1" applyAlignment="1">
      <alignment wrapText="1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7" fillId="12" borderId="26" xfId="1" applyFont="1" applyFill="1" applyBorder="1" applyAlignment="1">
      <alignment horizontal="center" vertical="center" wrapText="1"/>
    </xf>
    <xf numFmtId="0" fontId="28" fillId="13" borderId="27" xfId="0" applyFont="1" applyFill="1" applyBorder="1" applyAlignment="1">
      <alignment horizontal="center" vertical="center"/>
    </xf>
    <xf numFmtId="0" fontId="25" fillId="0" borderId="27" xfId="1" applyFont="1" applyBorder="1" applyAlignment="1">
      <alignment horizontal="center" vertical="center"/>
    </xf>
    <xf numFmtId="0" fontId="27" fillId="14" borderId="27" xfId="1" applyFont="1" applyFill="1" applyBorder="1" applyAlignment="1">
      <alignment horizontal="center" vertical="center"/>
    </xf>
    <xf numFmtId="0" fontId="27" fillId="14" borderId="27" xfId="1" applyFont="1" applyFill="1" applyBorder="1" applyAlignment="1">
      <alignment horizontal="center" vertical="center" wrapText="1"/>
    </xf>
    <xf numFmtId="0" fontId="26" fillId="14" borderId="27" xfId="1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9" fillId="0" borderId="27" xfId="1" applyFont="1" applyBorder="1" applyAlignment="1">
      <alignment horizontal="left" vertical="center" wrapText="1"/>
    </xf>
    <xf numFmtId="0" fontId="29" fillId="0" borderId="27" xfId="1" applyFont="1" applyBorder="1" applyAlignment="1">
      <alignment horizontal="center" vertical="center"/>
    </xf>
    <xf numFmtId="0" fontId="26" fillId="0" borderId="27" xfId="1" applyFont="1" applyBorder="1" applyAlignment="1">
      <alignment horizontal="center" vertical="center"/>
    </xf>
    <xf numFmtId="0" fontId="29" fillId="0" borderId="27" xfId="1" applyFont="1" applyBorder="1" applyAlignment="1">
      <alignment horizontal="center" vertical="center" wrapText="1"/>
    </xf>
    <xf numFmtId="0" fontId="30" fillId="0" borderId="27" xfId="1" applyFont="1" applyBorder="1" applyAlignment="1">
      <alignment horizontal="center" vertical="center"/>
    </xf>
    <xf numFmtId="0" fontId="31" fillId="0" borderId="27" xfId="1" applyFont="1" applyBorder="1"/>
    <xf numFmtId="1" fontId="29" fillId="0" borderId="27" xfId="1" applyNumberFormat="1" applyFont="1" applyBorder="1" applyAlignment="1">
      <alignment horizontal="center" vertical="center" wrapText="1"/>
    </xf>
    <xf numFmtId="0" fontId="32" fillId="0" borderId="27" xfId="1" applyFont="1" applyBorder="1" applyAlignment="1">
      <alignment horizontal="left" vertical="center" wrapText="1"/>
    </xf>
    <xf numFmtId="170" fontId="28" fillId="0" borderId="27" xfId="0" applyNumberFormat="1" applyFont="1" applyBorder="1" applyAlignment="1">
      <alignment horizontal="center" vertical="center" wrapText="1"/>
    </xf>
    <xf numFmtId="170" fontId="29" fillId="0" borderId="27" xfId="1" applyNumberFormat="1" applyFont="1" applyBorder="1" applyAlignment="1">
      <alignment horizontal="center" vertical="center" wrapText="1"/>
    </xf>
    <xf numFmtId="2" fontId="29" fillId="0" borderId="27" xfId="1" applyNumberFormat="1" applyFont="1" applyBorder="1" applyAlignment="1">
      <alignment horizontal="center" vertical="center" wrapText="1"/>
    </xf>
    <xf numFmtId="0" fontId="19" fillId="0" borderId="27" xfId="0" applyFont="1" applyBorder="1" applyAlignment="1">
      <alignment horizontal="left" vertical="center" wrapText="1"/>
    </xf>
    <xf numFmtId="0" fontId="1" fillId="0" borderId="27" xfId="1" applyBorder="1" applyAlignment="1">
      <alignment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12" borderId="33" xfId="0" applyFont="1" applyFill="1" applyBorder="1" applyAlignment="1">
      <alignment vertical="center" wrapText="1"/>
    </xf>
    <xf numFmtId="0" fontId="27" fillId="14" borderId="34" xfId="0" applyFont="1" applyFill="1" applyBorder="1" applyAlignment="1">
      <alignment horizontal="center" vertical="center"/>
    </xf>
    <xf numFmtId="0" fontId="27" fillId="14" borderId="34" xfId="0" applyFont="1" applyFill="1" applyBorder="1" applyAlignment="1">
      <alignment horizontal="center" vertical="center" wrapText="1"/>
    </xf>
    <xf numFmtId="0" fontId="27" fillId="14" borderId="32" xfId="0" applyFont="1" applyFill="1" applyBorder="1" applyAlignment="1">
      <alignment horizontal="center" vertical="center"/>
    </xf>
    <xf numFmtId="0" fontId="27" fillId="14" borderId="35" xfId="0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34" fillId="0" borderId="27" xfId="1" applyFont="1" applyBorder="1" applyAlignment="1">
      <alignment horizontal="center" vertical="center"/>
    </xf>
    <xf numFmtId="0" fontId="1" fillId="0" borderId="0" xfId="0" applyFont="1"/>
    <xf numFmtId="0" fontId="29" fillId="0" borderId="30" xfId="0" applyFont="1" applyBorder="1" applyAlignment="1">
      <alignment horizontal="center" vertical="center"/>
    </xf>
    <xf numFmtId="0" fontId="29" fillId="0" borderId="0" xfId="1" applyFont="1" applyAlignment="1">
      <alignment horizontal="center" vertical="center" wrapText="1"/>
    </xf>
    <xf numFmtId="0" fontId="29" fillId="0" borderId="39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1" fontId="29" fillId="0" borderId="34" xfId="0" applyNumberFormat="1" applyFont="1" applyBorder="1" applyAlignment="1">
      <alignment horizontal="center" vertical="center" wrapText="1"/>
    </xf>
    <xf numFmtId="0" fontId="0" fillId="0" borderId="34" xfId="0" applyBorder="1"/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/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4" fillId="0" borderId="20" xfId="1" applyFont="1" applyBorder="1" applyAlignment="1">
      <alignment horizontal="center" vertical="center"/>
    </xf>
    <xf numFmtId="165" fontId="15" fillId="0" borderId="20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4" fillId="0" borderId="4" xfId="1" applyFont="1" applyBorder="1"/>
    <xf numFmtId="167" fontId="5" fillId="0" borderId="4" xfId="0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 wrapText="1"/>
    </xf>
    <xf numFmtId="1" fontId="4" fillId="0" borderId="4" xfId="1" applyNumberFormat="1" applyFont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165" fontId="15" fillId="0" borderId="4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 vertical="center"/>
    </xf>
    <xf numFmtId="2" fontId="4" fillId="6" borderId="4" xfId="1" applyNumberFormat="1" applyFont="1" applyFill="1" applyBorder="1" applyAlignment="1">
      <alignment horizontal="center" vertical="center"/>
    </xf>
    <xf numFmtId="0" fontId="4" fillId="9" borderId="17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vertical="center"/>
    </xf>
    <xf numFmtId="0" fontId="14" fillId="0" borderId="4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 wrapText="1"/>
    </xf>
    <xf numFmtId="1" fontId="10" fillId="0" borderId="4" xfId="1" applyNumberFormat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69" fontId="5" fillId="0" borderId="4" xfId="1" applyNumberFormat="1" applyFont="1" applyBorder="1" applyAlignment="1">
      <alignment horizontal="center" vertical="center"/>
    </xf>
    <xf numFmtId="169" fontId="15" fillId="0" borderId="4" xfId="1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horizontal="center" vertical="center" wrapText="1"/>
    </xf>
    <xf numFmtId="165" fontId="15" fillId="0" borderId="4" xfId="1" applyNumberFormat="1" applyFont="1" applyBorder="1" applyAlignment="1">
      <alignment horizontal="center" vertical="center"/>
    </xf>
    <xf numFmtId="1" fontId="5" fillId="6" borderId="4" xfId="1" applyNumberFormat="1" applyFont="1" applyFill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left" vertical="center" indent="65"/>
    </xf>
    <xf numFmtId="2" fontId="5" fillId="6" borderId="4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2" fontId="5" fillId="11" borderId="4" xfId="1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29" fillId="0" borderId="27" xfId="1" applyFont="1" applyBorder="1" applyAlignment="1">
      <alignment horizontal="center" vertical="center"/>
    </xf>
    <xf numFmtId="0" fontId="27" fillId="14" borderId="27" xfId="1" applyFont="1" applyFill="1" applyBorder="1" applyAlignment="1">
      <alignment horizontal="center" vertical="center"/>
    </xf>
    <xf numFmtId="0" fontId="27" fillId="14" borderId="27" xfId="1" applyFont="1" applyFill="1" applyBorder="1" applyAlignment="1">
      <alignment horizontal="center" vertical="center" wrapText="1"/>
    </xf>
    <xf numFmtId="0" fontId="26" fillId="12" borderId="24" xfId="1" applyFont="1" applyFill="1" applyBorder="1" applyAlignment="1">
      <alignment horizontal="center" vertical="center" wrapText="1"/>
    </xf>
    <xf numFmtId="0" fontId="27" fillId="12" borderId="25" xfId="1" applyFont="1" applyFill="1" applyBorder="1" applyAlignment="1">
      <alignment horizontal="center" vertical="center" wrapText="1"/>
    </xf>
    <xf numFmtId="0" fontId="26" fillId="12" borderId="25" xfId="1" applyFont="1" applyFill="1" applyBorder="1" applyAlignment="1">
      <alignment horizontal="center" vertical="center" wrapText="1"/>
    </xf>
    <xf numFmtId="0" fontId="26" fillId="12" borderId="26" xfId="1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29" fillId="0" borderId="28" xfId="1" applyFont="1" applyBorder="1" applyAlignment="1">
      <alignment horizontal="center" vertical="center"/>
    </xf>
    <xf numFmtId="0" fontId="29" fillId="0" borderId="29" xfId="1" applyFont="1" applyBorder="1" applyAlignment="1">
      <alignment horizontal="center" vertical="center"/>
    </xf>
    <xf numFmtId="0" fontId="27" fillId="12" borderId="30" xfId="0" applyFont="1" applyFill="1" applyBorder="1" applyAlignment="1">
      <alignment horizontal="center" vertical="center" wrapText="1"/>
    </xf>
    <xf numFmtId="0" fontId="31" fillId="0" borderId="31" xfId="0" applyFont="1" applyBorder="1"/>
    <xf numFmtId="0" fontId="31" fillId="0" borderId="32" xfId="0" applyFont="1" applyBorder="1"/>
    <xf numFmtId="0" fontId="27" fillId="14" borderId="30" xfId="0" applyFont="1" applyFill="1" applyBorder="1" applyAlignment="1">
      <alignment horizontal="center" vertical="center"/>
    </xf>
    <xf numFmtId="0" fontId="31" fillId="0" borderId="33" xfId="0" applyFont="1" applyBorder="1"/>
    <xf numFmtId="0" fontId="31" fillId="0" borderId="38" xfId="0" applyFont="1" applyBorder="1"/>
  </cellXfs>
  <cellStyles count="2">
    <cellStyle name="Normal" xfId="0" builtinId="0"/>
    <cellStyle name="Normal 3" xfId="1" xr:uid="{9AF56A00-C079-406B-9D77-337F49E8F95A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373380</xdr:colOff>
          <xdr:row>62</xdr:row>
          <xdr:rowOff>175260</xdr:rowOff>
        </xdr:from>
        <xdr:to>
          <xdr:col>6</xdr:col>
          <xdr:colOff>1303020</xdr:colOff>
          <xdr:row>63</xdr:row>
          <xdr:rowOff>449580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8</xdr:col>
      <xdr:colOff>130632</xdr:colOff>
      <xdr:row>62</xdr:row>
      <xdr:rowOff>250370</xdr:rowOff>
    </xdr:from>
    <xdr:ext cx="2754083" cy="424544"/>
    <xdr:pic>
      <xdr:nvPicPr>
        <xdr:cNvPr id="2" name="image3.png">
          <a:extLst>
            <a:ext uri="{FF2B5EF4-FFF2-40B4-BE49-F238E27FC236}">
              <a16:creationId xmlns:a16="http://schemas.microsoft.com/office/drawing/2014/main" id="{D1AED642-0A4F-41B0-9084-859780A887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34752" y="14842670"/>
          <a:ext cx="2754083" cy="42454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20C4-7645-409E-8726-1ECE2C6F7E71}">
  <sheetPr>
    <tabColor rgb="FF92D050"/>
    <pageSetUpPr fitToPage="1"/>
  </sheetPr>
  <dimension ref="A1:M214"/>
  <sheetViews>
    <sheetView showGridLines="0" tabSelected="1" topLeftCell="A46" zoomScale="70" zoomScaleNormal="70" zoomScaleSheetLayoutView="70" workbookViewId="0">
      <selection activeCell="A62" sqref="A62"/>
    </sheetView>
  </sheetViews>
  <sheetFormatPr defaultRowHeight="15.6" x14ac:dyDescent="0.3"/>
  <cols>
    <col min="1" max="1" width="11.5546875" style="5" customWidth="1"/>
    <col min="2" max="2" width="52.5546875" style="113" customWidth="1"/>
    <col min="3" max="3" width="12.33203125" style="5" customWidth="1"/>
    <col min="4" max="4" width="9.109375" style="5" customWidth="1"/>
    <col min="5" max="5" width="11.33203125" style="5" bestFit="1" customWidth="1"/>
    <col min="6" max="6" width="23.77734375" style="5" customWidth="1"/>
    <col min="7" max="7" width="24.5546875" style="5" customWidth="1"/>
    <col min="8" max="8" width="2.109375" style="5" customWidth="1"/>
    <col min="9" max="9" width="15.109375" style="5" customWidth="1"/>
    <col min="10" max="10" width="29.21875" style="5" customWidth="1"/>
    <col min="11" max="16384" width="8.88671875" style="5"/>
  </cols>
  <sheetData>
    <row r="1" spans="1:7" ht="21" x14ac:dyDescent="0.3">
      <c r="A1" s="1" t="s">
        <v>0</v>
      </c>
      <c r="B1" s="2"/>
      <c r="C1" s="3"/>
      <c r="D1" s="3"/>
      <c r="E1" s="3"/>
      <c r="F1" s="3"/>
      <c r="G1" s="4"/>
    </row>
    <row r="2" spans="1:7" ht="16.8" customHeight="1" x14ac:dyDescent="0.3">
      <c r="A2" s="6" t="s">
        <v>1</v>
      </c>
      <c r="B2" s="7"/>
      <c r="C2" s="6"/>
      <c r="D2" s="7"/>
      <c r="E2" s="7"/>
      <c r="F2" s="7"/>
      <c r="G2" s="8"/>
    </row>
    <row r="3" spans="1:7" ht="14.4" customHeight="1" x14ac:dyDescent="0.3">
      <c r="A3" s="9">
        <v>1</v>
      </c>
      <c r="B3" s="10" t="s">
        <v>2</v>
      </c>
      <c r="C3" s="11" t="s">
        <v>3</v>
      </c>
      <c r="D3" s="12"/>
      <c r="E3" s="12"/>
      <c r="F3" s="12"/>
      <c r="G3" s="4"/>
    </row>
    <row r="4" spans="1:7" ht="14.4" customHeight="1" x14ac:dyDescent="0.3">
      <c r="A4" s="9">
        <v>2</v>
      </c>
      <c r="B4" s="10" t="s">
        <v>4</v>
      </c>
      <c r="C4" s="11" t="s">
        <v>5</v>
      </c>
      <c r="D4" s="12"/>
      <c r="E4" s="12"/>
      <c r="F4" s="12"/>
      <c r="G4" s="4"/>
    </row>
    <row r="5" spans="1:7" ht="14.4" customHeight="1" x14ac:dyDescent="0.3">
      <c r="A5" s="9">
        <v>4</v>
      </c>
      <c r="B5" s="13" t="s">
        <v>6</v>
      </c>
      <c r="C5" s="14" t="s">
        <v>7</v>
      </c>
      <c r="D5" s="15"/>
      <c r="E5" s="15"/>
      <c r="F5" s="15"/>
      <c r="G5" s="16"/>
    </row>
    <row r="6" spans="1:7" x14ac:dyDescent="0.3">
      <c r="A6" s="171">
        <v>3</v>
      </c>
      <c r="B6" s="13" t="s">
        <v>8</v>
      </c>
      <c r="C6" s="11" t="s">
        <v>9</v>
      </c>
      <c r="D6" s="12"/>
      <c r="E6" s="12"/>
      <c r="F6" s="12"/>
      <c r="G6" s="4"/>
    </row>
    <row r="7" spans="1:7" x14ac:dyDescent="0.3">
      <c r="A7" s="172"/>
      <c r="B7" s="17"/>
      <c r="C7" s="11" t="s">
        <v>10</v>
      </c>
      <c r="D7" s="12"/>
      <c r="E7" s="12"/>
      <c r="F7" s="12"/>
      <c r="G7" s="4"/>
    </row>
    <row r="8" spans="1:7" ht="16.2" thickBot="1" x14ac:dyDescent="0.35">
      <c r="A8" s="18"/>
      <c r="B8" s="19"/>
      <c r="C8" s="17"/>
      <c r="D8" s="20"/>
      <c r="E8" s="20"/>
      <c r="F8" s="20"/>
      <c r="G8" s="21"/>
    </row>
    <row r="9" spans="1:7" s="26" customFormat="1" ht="30" customHeight="1" thickBot="1" x14ac:dyDescent="0.35">
      <c r="A9" s="22" t="s">
        <v>11</v>
      </c>
      <c r="B9" s="23" t="s">
        <v>12</v>
      </c>
      <c r="C9" s="173" t="s">
        <v>13</v>
      </c>
      <c r="D9" s="174"/>
      <c r="E9" s="24" t="s">
        <v>14</v>
      </c>
      <c r="F9" s="25" t="str">
        <f>C6</f>
        <v>48" Gas Sales P/L -Tie In</v>
      </c>
      <c r="G9" s="25" t="str">
        <f>C7</f>
        <v>48" Gas Sales P/L-Main</v>
      </c>
    </row>
    <row r="10" spans="1:7" s="26" customFormat="1" ht="24" customHeight="1" thickBot="1" x14ac:dyDescent="0.35">
      <c r="A10" s="27" t="s">
        <v>15</v>
      </c>
      <c r="B10" s="28"/>
      <c r="C10" s="175"/>
      <c r="D10" s="175"/>
      <c r="E10" s="29"/>
      <c r="F10" s="30"/>
      <c r="G10" s="30"/>
    </row>
    <row r="11" spans="1:7" s="26" customFormat="1" ht="16.2" thickBot="1" x14ac:dyDescent="0.35">
      <c r="A11" s="31"/>
      <c r="B11" s="32" t="s">
        <v>16</v>
      </c>
      <c r="C11" s="175"/>
      <c r="D11" s="175"/>
      <c r="E11" s="33"/>
      <c r="F11" s="34"/>
      <c r="G11" s="34"/>
    </row>
    <row r="12" spans="1:7" s="26" customFormat="1" ht="16.2" thickBot="1" x14ac:dyDescent="0.35">
      <c r="A12" s="31">
        <v>1.1000000000000001</v>
      </c>
      <c r="B12" s="35" t="s">
        <v>17</v>
      </c>
      <c r="C12" s="175" t="s">
        <v>5</v>
      </c>
      <c r="D12" s="175"/>
      <c r="E12" s="33" t="s">
        <v>18</v>
      </c>
      <c r="F12" s="36">
        <v>48</v>
      </c>
      <c r="G12" s="36">
        <v>48</v>
      </c>
    </row>
    <row r="13" spans="1:7" s="26" customFormat="1" ht="16.2" thickBot="1" x14ac:dyDescent="0.35">
      <c r="A13" s="37">
        <v>1.2</v>
      </c>
      <c r="B13" s="38" t="s">
        <v>17</v>
      </c>
      <c r="C13" s="169" t="s">
        <v>19</v>
      </c>
      <c r="D13" s="169"/>
      <c r="E13" s="39" t="s">
        <v>20</v>
      </c>
      <c r="F13" s="40">
        <f t="shared" ref="F13:G13" si="0">F12/39.37</f>
        <v>1.219202438404877</v>
      </c>
      <c r="G13" s="40">
        <f t="shared" si="0"/>
        <v>1.219202438404877</v>
      </c>
    </row>
    <row r="14" spans="1:7" s="26" customFormat="1" ht="16.2" thickBot="1" x14ac:dyDescent="0.35">
      <c r="A14" s="37">
        <v>1.3</v>
      </c>
      <c r="B14" s="38" t="s">
        <v>21</v>
      </c>
      <c r="C14" s="169"/>
      <c r="D14" s="169"/>
      <c r="E14" s="33" t="s">
        <v>18</v>
      </c>
      <c r="F14" s="40">
        <v>0.875</v>
      </c>
      <c r="G14" s="40">
        <v>0.875</v>
      </c>
    </row>
    <row r="15" spans="1:7" s="26" customFormat="1" ht="16.2" thickBot="1" x14ac:dyDescent="0.35">
      <c r="A15" s="37">
        <v>1.4</v>
      </c>
      <c r="B15" s="38" t="s">
        <v>22</v>
      </c>
      <c r="C15" s="170" t="s">
        <v>5</v>
      </c>
      <c r="D15" s="170"/>
      <c r="E15" s="41" t="s">
        <v>23</v>
      </c>
      <c r="F15" s="40">
        <v>57.22</v>
      </c>
      <c r="G15" s="40">
        <v>57.22</v>
      </c>
    </row>
    <row r="16" spans="1:7" s="26" customFormat="1" ht="16.2" thickBot="1" x14ac:dyDescent="0.35">
      <c r="A16" s="37"/>
      <c r="B16" s="42" t="s">
        <v>24</v>
      </c>
      <c r="C16" s="169"/>
      <c r="D16" s="169"/>
      <c r="E16" s="39"/>
      <c r="F16" s="43"/>
      <c r="G16" s="43"/>
    </row>
    <row r="17" spans="1:10" s="26" customFormat="1" ht="16.2" thickBot="1" x14ac:dyDescent="0.35">
      <c r="A17" s="37">
        <v>1.5</v>
      </c>
      <c r="B17" s="38" t="s">
        <v>25</v>
      </c>
      <c r="C17" s="169" t="s">
        <v>5</v>
      </c>
      <c r="D17" s="169"/>
      <c r="E17" s="39" t="s">
        <v>20</v>
      </c>
      <c r="F17" s="43">
        <v>0</v>
      </c>
      <c r="G17" s="43">
        <v>0</v>
      </c>
    </row>
    <row r="18" spans="1:10" s="26" customFormat="1" ht="16.2" thickBot="1" x14ac:dyDescent="0.35">
      <c r="A18" s="37">
        <v>1.6</v>
      </c>
      <c r="B18" s="38" t="s">
        <v>26</v>
      </c>
      <c r="C18" s="169" t="s">
        <v>5</v>
      </c>
      <c r="D18" s="169"/>
      <c r="E18" s="39" t="s">
        <v>20</v>
      </c>
      <c r="F18" s="43">
        <v>292</v>
      </c>
      <c r="G18" s="43">
        <v>41480</v>
      </c>
    </row>
    <row r="19" spans="1:10" s="26" customFormat="1" ht="16.2" thickBot="1" x14ac:dyDescent="0.35">
      <c r="A19" s="37">
        <v>1.7</v>
      </c>
      <c r="B19" s="38" t="s">
        <v>27</v>
      </c>
      <c r="C19" s="169" t="s">
        <v>28</v>
      </c>
      <c r="D19" s="169"/>
      <c r="E19" s="39" t="s">
        <v>20</v>
      </c>
      <c r="F19" s="34">
        <f t="shared" ref="F19:G19" si="1">F18-F17</f>
        <v>292</v>
      </c>
      <c r="G19" s="34">
        <f t="shared" si="1"/>
        <v>41480</v>
      </c>
    </row>
    <row r="20" spans="1:10" s="26" customFormat="1" ht="16.2" thickBot="1" x14ac:dyDescent="0.35">
      <c r="A20" s="37">
        <v>1.8</v>
      </c>
      <c r="B20" s="38" t="s">
        <v>29</v>
      </c>
      <c r="C20" s="170" t="s">
        <v>5</v>
      </c>
      <c r="D20" s="170"/>
      <c r="E20" s="41" t="s">
        <v>30</v>
      </c>
      <c r="F20" s="40">
        <v>0.1</v>
      </c>
      <c r="G20" s="40">
        <v>0.1</v>
      </c>
    </row>
    <row r="21" spans="1:10" s="26" customFormat="1" ht="16.2" thickBot="1" x14ac:dyDescent="0.35">
      <c r="A21" s="37">
        <v>1.9</v>
      </c>
      <c r="B21" s="38" t="s">
        <v>31</v>
      </c>
      <c r="C21" s="170" t="s">
        <v>32</v>
      </c>
      <c r="D21" s="170"/>
      <c r="E21" s="41" t="s">
        <v>33</v>
      </c>
      <c r="F21" s="40">
        <f>3.14*(F19*F13)</f>
        <v>1117.8623317246636</v>
      </c>
      <c r="G21" s="40">
        <f>3.14*(G19*G13)</f>
        <v>158797.70383540771</v>
      </c>
    </row>
    <row r="22" spans="1:10" s="26" customFormat="1" ht="16.2" thickBot="1" x14ac:dyDescent="0.35">
      <c r="A22" s="44">
        <v>1.1000000000000001</v>
      </c>
      <c r="B22" s="38" t="s">
        <v>34</v>
      </c>
      <c r="C22" s="169" t="s">
        <v>35</v>
      </c>
      <c r="D22" s="169"/>
      <c r="E22" s="41" t="s">
        <v>36</v>
      </c>
      <c r="F22" s="40">
        <f>F20*1.25^((F15-30)/10)</f>
        <v>0.18356465204549513</v>
      </c>
      <c r="G22" s="40">
        <f>G20*1.25^((G15-30)/10)</f>
        <v>0.18356465204549513</v>
      </c>
    </row>
    <row r="23" spans="1:10" s="26" customFormat="1" ht="18.600000000000001" thickBot="1" x14ac:dyDescent="0.35">
      <c r="A23" s="37">
        <v>1.1100000000000001</v>
      </c>
      <c r="B23" s="38" t="s">
        <v>37</v>
      </c>
      <c r="C23" s="170" t="s">
        <v>38</v>
      </c>
      <c r="D23" s="176"/>
      <c r="E23" s="41" t="s">
        <v>39</v>
      </c>
      <c r="F23" s="40">
        <f>F21*F22/1000</f>
        <v>0.20520000995780374</v>
      </c>
      <c r="G23" s="40">
        <f>G21*G22/1000</f>
        <v>29.149645250170206</v>
      </c>
    </row>
    <row r="24" spans="1:10" s="26" customFormat="1" ht="31.8" thickBot="1" x14ac:dyDescent="0.35">
      <c r="A24" s="37">
        <v>1.1200000000000001</v>
      </c>
      <c r="B24" s="38" t="s">
        <v>40</v>
      </c>
      <c r="C24" s="170" t="s">
        <v>38</v>
      </c>
      <c r="D24" s="170"/>
      <c r="E24" s="41" t="s">
        <v>41</v>
      </c>
      <c r="F24" s="40">
        <f>F23*1.3</f>
        <v>0.2667600129451449</v>
      </c>
      <c r="G24" s="40">
        <f>G23*1.3</f>
        <v>37.894538825221268</v>
      </c>
    </row>
    <row r="25" spans="1:10" s="26" customFormat="1" ht="16.2" customHeight="1" x14ac:dyDescent="0.3">
      <c r="A25" s="45"/>
      <c r="B25" s="46"/>
      <c r="C25" s="47"/>
      <c r="D25" s="48"/>
      <c r="E25" s="47"/>
      <c r="F25" s="49"/>
    </row>
    <row r="26" spans="1:10" s="26" customFormat="1" ht="22.2" customHeight="1" x14ac:dyDescent="0.3">
      <c r="A26" s="52" t="s">
        <v>47</v>
      </c>
      <c r="B26" s="53"/>
      <c r="C26" s="53"/>
      <c r="D26" s="53"/>
      <c r="E26" s="53"/>
      <c r="F26" s="177"/>
      <c r="G26" s="177"/>
      <c r="I26" s="178"/>
      <c r="J26" s="178"/>
    </row>
    <row r="27" spans="1:10" ht="47.4" customHeight="1" x14ac:dyDescent="0.3">
      <c r="A27" s="54" t="s">
        <v>11</v>
      </c>
      <c r="B27" s="54" t="s">
        <v>12</v>
      </c>
      <c r="C27" s="179" t="s">
        <v>13</v>
      </c>
      <c r="D27" s="179"/>
      <c r="E27" s="55" t="s">
        <v>14</v>
      </c>
      <c r="F27" s="180" t="s">
        <v>48</v>
      </c>
      <c r="G27" s="180"/>
      <c r="I27" s="180" t="s">
        <v>49</v>
      </c>
      <c r="J27" s="180"/>
    </row>
    <row r="28" spans="1:10" ht="31.2" customHeight="1" x14ac:dyDescent="0.3">
      <c r="A28" s="56">
        <v>2.1</v>
      </c>
      <c r="B28" s="50" t="s">
        <v>50</v>
      </c>
      <c r="C28" s="183"/>
      <c r="D28" s="183"/>
      <c r="E28" s="57"/>
      <c r="F28" s="184" t="s">
        <v>51</v>
      </c>
      <c r="G28" s="184"/>
      <c r="I28" s="184" t="s">
        <v>51</v>
      </c>
      <c r="J28" s="184"/>
    </row>
    <row r="29" spans="1:10" ht="18" x14ac:dyDescent="0.3">
      <c r="A29" s="56">
        <v>2.2000000000000002</v>
      </c>
      <c r="B29" s="50" t="s">
        <v>44</v>
      </c>
      <c r="C29" s="185" t="s">
        <v>52</v>
      </c>
      <c r="D29" s="185"/>
      <c r="E29" s="59" t="s">
        <v>53</v>
      </c>
      <c r="F29" s="184">
        <f>(F24+G24)*0.5</f>
        <v>19.080649419083205</v>
      </c>
      <c r="G29" s="184"/>
      <c r="I29" s="184">
        <f>(F24+G24)*0.5</f>
        <v>19.080649419083205</v>
      </c>
      <c r="J29" s="184"/>
    </row>
    <row r="30" spans="1:10" x14ac:dyDescent="0.3">
      <c r="A30" s="56">
        <v>2.2999999999999998</v>
      </c>
      <c r="B30" s="60" t="s">
        <v>54</v>
      </c>
      <c r="C30" s="181" t="s">
        <v>55</v>
      </c>
      <c r="D30" s="181"/>
      <c r="E30" s="57" t="s">
        <v>53</v>
      </c>
      <c r="F30" s="182">
        <v>3.56</v>
      </c>
      <c r="G30" s="182"/>
      <c r="I30" s="182">
        <v>3.56</v>
      </c>
      <c r="J30" s="182"/>
    </row>
    <row r="31" spans="1:10" x14ac:dyDescent="0.3">
      <c r="A31" s="56">
        <v>2.4</v>
      </c>
      <c r="B31" s="50" t="s">
        <v>56</v>
      </c>
      <c r="C31" s="183"/>
      <c r="D31" s="183"/>
      <c r="E31" s="62" t="s">
        <v>57</v>
      </c>
      <c r="F31" s="182">
        <f>ROUNDUP(F29/F30,0)</f>
        <v>6</v>
      </c>
      <c r="G31" s="182"/>
      <c r="I31" s="182">
        <f>ROUNDUP(I29/I30,0)</f>
        <v>6</v>
      </c>
      <c r="J31" s="182"/>
    </row>
    <row r="32" spans="1:10" x14ac:dyDescent="0.3">
      <c r="A32" s="56">
        <v>2.4</v>
      </c>
      <c r="B32" s="50" t="s">
        <v>58</v>
      </c>
      <c r="C32" s="181" t="s">
        <v>45</v>
      </c>
      <c r="D32" s="181"/>
      <c r="E32" s="57" t="s">
        <v>46</v>
      </c>
      <c r="F32" s="186">
        <v>25</v>
      </c>
      <c r="G32" s="186"/>
      <c r="I32" s="186">
        <v>35</v>
      </c>
      <c r="J32" s="186"/>
    </row>
    <row r="33" spans="1:10" x14ac:dyDescent="0.3">
      <c r="A33" s="56">
        <v>2.5</v>
      </c>
      <c r="B33" s="50" t="s">
        <v>59</v>
      </c>
      <c r="C33" s="183"/>
      <c r="D33" s="183"/>
      <c r="E33" s="62" t="s">
        <v>57</v>
      </c>
      <c r="F33" s="188">
        <f>F32/F30</f>
        <v>7.0224719101123592</v>
      </c>
      <c r="G33" s="188"/>
      <c r="I33" s="188">
        <f>I32/I30</f>
        <v>9.8314606741573041</v>
      </c>
      <c r="J33" s="188"/>
    </row>
    <row r="34" spans="1:10" x14ac:dyDescent="0.3">
      <c r="A34" s="56">
        <v>2.6</v>
      </c>
      <c r="B34" s="50" t="s">
        <v>60</v>
      </c>
      <c r="C34" s="63"/>
      <c r="D34" s="64"/>
      <c r="E34" s="62" t="s">
        <v>57</v>
      </c>
      <c r="F34" s="186">
        <v>9</v>
      </c>
      <c r="G34" s="186"/>
      <c r="H34" s="65"/>
      <c r="I34" s="186">
        <v>12</v>
      </c>
      <c r="J34" s="186"/>
    </row>
    <row r="35" spans="1:10" ht="16.2" thickBot="1" x14ac:dyDescent="0.35">
      <c r="A35" s="66"/>
      <c r="B35" s="67"/>
      <c r="C35" s="68"/>
      <c r="D35" s="69"/>
      <c r="E35" s="70"/>
      <c r="F35" s="187"/>
      <c r="G35" s="187"/>
      <c r="I35" s="187"/>
      <c r="J35" s="187"/>
    </row>
    <row r="36" spans="1:10" s="26" customFormat="1" ht="22.2" customHeight="1" x14ac:dyDescent="0.3">
      <c r="A36" s="52" t="s">
        <v>61</v>
      </c>
      <c r="B36" s="53"/>
      <c r="C36" s="53"/>
      <c r="D36" s="53"/>
      <c r="E36" s="53"/>
      <c r="F36" s="177"/>
      <c r="G36" s="177"/>
      <c r="I36" s="178"/>
      <c r="J36" s="178"/>
    </row>
    <row r="37" spans="1:10" ht="43.2" customHeight="1" x14ac:dyDescent="0.3">
      <c r="A37" s="54" t="s">
        <v>11</v>
      </c>
      <c r="B37" s="54" t="s">
        <v>12</v>
      </c>
      <c r="C37" s="179" t="s">
        <v>13</v>
      </c>
      <c r="D37" s="179"/>
      <c r="E37" s="72" t="s">
        <v>14</v>
      </c>
      <c r="F37" s="190" t="str">
        <f>F27</f>
        <v>ICCP Sation-1 @KM 00+000
(Launcher)</v>
      </c>
      <c r="G37" s="190"/>
      <c r="I37" s="190" t="str">
        <f>I27</f>
        <v>ICCP Sation-2 @KM 41+488
(At Scraper Receiver)</v>
      </c>
      <c r="J37" s="190"/>
    </row>
    <row r="38" spans="1:10" ht="14.4" customHeight="1" x14ac:dyDescent="0.3">
      <c r="A38" s="9">
        <v>3.1</v>
      </c>
      <c r="B38" s="50" t="s">
        <v>62</v>
      </c>
      <c r="C38" s="189" t="s">
        <v>63</v>
      </c>
      <c r="D38" s="189"/>
      <c r="E38" s="62" t="s">
        <v>64</v>
      </c>
      <c r="F38" s="191">
        <f>F34</f>
        <v>9</v>
      </c>
      <c r="G38" s="191"/>
      <c r="I38" s="191">
        <f>I34</f>
        <v>12</v>
      </c>
      <c r="J38" s="191"/>
    </row>
    <row r="39" spans="1:10" ht="14.4" customHeight="1" x14ac:dyDescent="0.3">
      <c r="A39" s="9">
        <v>3.2</v>
      </c>
      <c r="B39" s="50" t="s">
        <v>65</v>
      </c>
      <c r="C39" s="189" t="s">
        <v>66</v>
      </c>
      <c r="D39" s="189"/>
      <c r="E39" s="62" t="s">
        <v>67</v>
      </c>
      <c r="F39" s="189">
        <v>38.6</v>
      </c>
      <c r="G39" s="189"/>
      <c r="I39" s="189">
        <v>38.6</v>
      </c>
      <c r="J39" s="189"/>
    </row>
    <row r="40" spans="1:10" ht="14.4" customHeight="1" x14ac:dyDescent="0.3">
      <c r="A40" s="9">
        <v>3.3</v>
      </c>
      <c r="B40" s="50" t="s">
        <v>68</v>
      </c>
      <c r="C40" s="189" t="s">
        <v>69</v>
      </c>
      <c r="D40" s="189"/>
      <c r="E40" s="62" t="s">
        <v>70</v>
      </c>
      <c r="F40" s="189">
        <v>0.45</v>
      </c>
      <c r="G40" s="189"/>
      <c r="I40" s="189">
        <v>0.45</v>
      </c>
      <c r="J40" s="189"/>
    </row>
    <row r="41" spans="1:10" ht="14.4" customHeight="1" x14ac:dyDescent="0.3">
      <c r="A41" s="9">
        <v>3.4</v>
      </c>
      <c r="B41" s="50" t="s">
        <v>71</v>
      </c>
      <c r="C41" s="181" t="s">
        <v>45</v>
      </c>
      <c r="D41" s="181"/>
      <c r="E41" s="62" t="s">
        <v>32</v>
      </c>
      <c r="F41" s="181">
        <f>F32</f>
        <v>25</v>
      </c>
      <c r="G41" s="181"/>
      <c r="I41" s="181">
        <f>I32</f>
        <v>35</v>
      </c>
      <c r="J41" s="181"/>
    </row>
    <row r="42" spans="1:10" ht="14.4" customHeight="1" x14ac:dyDescent="0.3">
      <c r="A42" s="9">
        <v>3.5</v>
      </c>
      <c r="B42" s="50" t="s">
        <v>72</v>
      </c>
      <c r="C42" s="189" t="s">
        <v>73</v>
      </c>
      <c r="D42" s="189"/>
      <c r="E42" s="62" t="s">
        <v>73</v>
      </c>
      <c r="F42" s="194">
        <f>(F38*F39*0.85)/(F41*F40)</f>
        <v>26.248000000000001</v>
      </c>
      <c r="G42" s="194"/>
      <c r="I42" s="194">
        <f>(I38*I39*0.85)/(I41*I40)</f>
        <v>24.998095238095239</v>
      </c>
      <c r="J42" s="194"/>
    </row>
    <row r="43" spans="1:10" ht="22.2" customHeight="1" x14ac:dyDescent="0.3">
      <c r="A43" s="9">
        <v>3.6</v>
      </c>
      <c r="B43" s="50" t="s">
        <v>74</v>
      </c>
      <c r="C43" s="183"/>
      <c r="D43" s="183"/>
      <c r="E43" s="62"/>
      <c r="F43" s="192" t="s">
        <v>75</v>
      </c>
      <c r="G43" s="192"/>
      <c r="I43" s="192" t="s">
        <v>75</v>
      </c>
      <c r="J43" s="192"/>
    </row>
    <row r="44" spans="1:10" s="26" customFormat="1" ht="22.2" customHeight="1" x14ac:dyDescent="0.3">
      <c r="A44" s="52" t="s">
        <v>76</v>
      </c>
      <c r="B44" s="53"/>
      <c r="C44" s="53"/>
      <c r="D44" s="53"/>
      <c r="E44" s="53"/>
      <c r="F44" s="177"/>
      <c r="G44" s="177"/>
      <c r="I44" s="178"/>
      <c r="J44" s="178"/>
    </row>
    <row r="45" spans="1:10" ht="36.6" customHeight="1" x14ac:dyDescent="0.3">
      <c r="A45" s="74" t="s">
        <v>11</v>
      </c>
      <c r="B45" s="74" t="s">
        <v>12</v>
      </c>
      <c r="C45" s="75"/>
      <c r="D45" s="76"/>
      <c r="E45" s="76" t="s">
        <v>14</v>
      </c>
      <c r="F45" s="193" t="str">
        <f>F27</f>
        <v>ICCP Sation-1 @KM 00+000
(Launcher)</v>
      </c>
      <c r="G45" s="190"/>
      <c r="I45" s="193" t="str">
        <f>I27</f>
        <v>ICCP Sation-2 @KM 41+488
(At Scraper Receiver)</v>
      </c>
      <c r="J45" s="190"/>
    </row>
    <row r="46" spans="1:10" ht="14.4" customHeight="1" x14ac:dyDescent="0.3">
      <c r="A46" s="74"/>
      <c r="B46" s="77"/>
      <c r="C46" s="78"/>
      <c r="D46" s="79"/>
      <c r="E46" s="78"/>
      <c r="F46" s="190" t="s">
        <v>77</v>
      </c>
      <c r="G46" s="190"/>
      <c r="I46" s="190" t="s">
        <v>78</v>
      </c>
      <c r="J46" s="190"/>
    </row>
    <row r="47" spans="1:10" ht="14.4" customHeight="1" x14ac:dyDescent="0.3">
      <c r="A47" s="58">
        <v>4.0999999999999996</v>
      </c>
      <c r="B47" s="80" t="s">
        <v>79</v>
      </c>
      <c r="C47" s="81"/>
      <c r="D47" s="82"/>
      <c r="E47" s="83" t="s">
        <v>20</v>
      </c>
      <c r="F47" s="194" t="s">
        <v>80</v>
      </c>
      <c r="G47" s="194"/>
      <c r="I47" s="194" t="s">
        <v>81</v>
      </c>
      <c r="J47" s="194"/>
    </row>
    <row r="48" spans="1:10" ht="14.4" customHeight="1" x14ac:dyDescent="0.3">
      <c r="A48" s="58">
        <v>4.2</v>
      </c>
      <c r="B48" s="80" t="s">
        <v>82</v>
      </c>
      <c r="C48" s="81"/>
      <c r="D48" s="82"/>
      <c r="E48" s="83" t="s">
        <v>20</v>
      </c>
      <c r="F48" s="195">
        <v>15</v>
      </c>
      <c r="G48" s="195"/>
      <c r="I48" s="194">
        <v>3</v>
      </c>
      <c r="J48" s="194"/>
    </row>
    <row r="49" spans="1:10" ht="14.4" customHeight="1" x14ac:dyDescent="0.3">
      <c r="A49" s="58">
        <v>4.3</v>
      </c>
      <c r="B49" s="80" t="s">
        <v>83</v>
      </c>
      <c r="C49" s="81"/>
      <c r="D49" s="82"/>
      <c r="E49" s="84" t="s">
        <v>57</v>
      </c>
      <c r="F49" s="194">
        <f>F38</f>
        <v>9</v>
      </c>
      <c r="G49" s="194"/>
      <c r="I49" s="194">
        <f>I38</f>
        <v>12</v>
      </c>
      <c r="J49" s="194"/>
    </row>
    <row r="50" spans="1:10" ht="14.4" customHeight="1" x14ac:dyDescent="0.3">
      <c r="A50" s="58">
        <v>4.4000000000000004</v>
      </c>
      <c r="B50" s="80" t="s">
        <v>84</v>
      </c>
      <c r="C50" s="81"/>
      <c r="D50" s="82"/>
      <c r="E50" s="83" t="s">
        <v>20</v>
      </c>
      <c r="F50" s="194">
        <v>2.13</v>
      </c>
      <c r="G50" s="194"/>
      <c r="I50" s="194">
        <v>2.13</v>
      </c>
      <c r="J50" s="194"/>
    </row>
    <row r="51" spans="1:10" ht="14.4" customHeight="1" x14ac:dyDescent="0.3">
      <c r="A51" s="58">
        <v>4.5</v>
      </c>
      <c r="B51" s="80" t="s">
        <v>85</v>
      </c>
      <c r="C51" s="81"/>
      <c r="D51" s="82"/>
      <c r="E51" s="83" t="s">
        <v>20</v>
      </c>
      <c r="F51" s="194">
        <v>1.5</v>
      </c>
      <c r="G51" s="194"/>
      <c r="I51" s="194" t="s">
        <v>5</v>
      </c>
      <c r="J51" s="194"/>
    </row>
    <row r="52" spans="1:10" ht="14.4" customHeight="1" x14ac:dyDescent="0.3">
      <c r="A52" s="58">
        <v>4.5999999999999996</v>
      </c>
      <c r="B52" s="80" t="s">
        <v>86</v>
      </c>
      <c r="C52" s="81"/>
      <c r="D52" s="82"/>
      <c r="E52" s="83" t="s">
        <v>20</v>
      </c>
      <c r="F52" s="194">
        <v>1.5</v>
      </c>
      <c r="G52" s="194"/>
      <c r="I52" s="194">
        <v>2</v>
      </c>
      <c r="J52" s="194"/>
    </row>
    <row r="53" spans="1:10" ht="14.4" customHeight="1" x14ac:dyDescent="0.3">
      <c r="A53" s="58">
        <v>4.7</v>
      </c>
      <c r="B53" s="80" t="s">
        <v>87</v>
      </c>
      <c r="C53" s="81"/>
      <c r="D53" s="82"/>
      <c r="E53" s="83" t="s">
        <v>20</v>
      </c>
      <c r="F53" s="194">
        <v>2.5</v>
      </c>
      <c r="G53" s="194"/>
      <c r="I53" s="194" t="s">
        <v>5</v>
      </c>
      <c r="J53" s="194"/>
    </row>
    <row r="54" spans="1:10" ht="14.4" customHeight="1" x14ac:dyDescent="0.3">
      <c r="A54" s="58">
        <v>4.8</v>
      </c>
      <c r="B54" s="80" t="s">
        <v>88</v>
      </c>
      <c r="C54" s="81"/>
      <c r="D54" s="82"/>
      <c r="E54" s="83" t="s">
        <v>20</v>
      </c>
      <c r="F54" s="194">
        <v>0.5</v>
      </c>
      <c r="G54" s="194"/>
      <c r="I54" s="194" t="s">
        <v>5</v>
      </c>
      <c r="J54" s="194"/>
    </row>
    <row r="55" spans="1:10" ht="14.4" customHeight="1" x14ac:dyDescent="0.3">
      <c r="A55" s="58">
        <v>4.9000000000000004</v>
      </c>
      <c r="B55" s="80" t="s">
        <v>89</v>
      </c>
      <c r="C55" s="81"/>
      <c r="D55" s="82"/>
      <c r="E55" s="83" t="s">
        <v>20</v>
      </c>
      <c r="F55" s="194">
        <f>ROUND(F51+(F49*F50)+((F49-1)*F52)+F53,0)</f>
        <v>35</v>
      </c>
      <c r="G55" s="194"/>
      <c r="I55" s="194">
        <v>3</v>
      </c>
      <c r="J55" s="194"/>
    </row>
    <row r="56" spans="1:10" ht="14.4" customHeight="1" x14ac:dyDescent="0.3">
      <c r="A56" s="85">
        <v>4.0999999999999996</v>
      </c>
      <c r="B56" s="80" t="s">
        <v>90</v>
      </c>
      <c r="C56" s="81"/>
      <c r="D56" s="82"/>
      <c r="E56" s="83" t="s">
        <v>20</v>
      </c>
      <c r="F56" s="194">
        <f>F57-F54</f>
        <v>50</v>
      </c>
      <c r="G56" s="194"/>
      <c r="I56" s="194" t="s">
        <v>5</v>
      </c>
      <c r="J56" s="194"/>
    </row>
    <row r="57" spans="1:10" ht="14.4" customHeight="1" x14ac:dyDescent="0.3">
      <c r="A57" s="58">
        <v>4.1100000000000003</v>
      </c>
      <c r="B57" s="80" t="s">
        <v>91</v>
      </c>
      <c r="C57" s="81"/>
      <c r="D57" s="82"/>
      <c r="E57" s="83" t="s">
        <v>20</v>
      </c>
      <c r="F57" s="194">
        <f>F55+F48+F54</f>
        <v>50.5</v>
      </c>
      <c r="G57" s="194"/>
      <c r="I57" s="194">
        <f>I55+I48</f>
        <v>6</v>
      </c>
      <c r="J57" s="194"/>
    </row>
    <row r="58" spans="1:10" ht="14.4" customHeight="1" x14ac:dyDescent="0.3">
      <c r="A58" s="58">
        <v>4.12</v>
      </c>
      <c r="B58" s="80" t="s">
        <v>92</v>
      </c>
      <c r="C58" s="81"/>
      <c r="D58" s="82"/>
      <c r="E58" s="83" t="s">
        <v>20</v>
      </c>
      <c r="F58" s="194">
        <v>0.25</v>
      </c>
      <c r="G58" s="194"/>
      <c r="I58" s="194">
        <v>0.25</v>
      </c>
      <c r="J58" s="194"/>
    </row>
    <row r="59" spans="1:10" ht="14.4" customHeight="1" x14ac:dyDescent="0.3">
      <c r="A59" s="85">
        <v>4.13</v>
      </c>
      <c r="B59" s="80" t="s">
        <v>93</v>
      </c>
      <c r="C59" s="81"/>
      <c r="D59" s="82"/>
      <c r="E59" s="62" t="s">
        <v>94</v>
      </c>
      <c r="F59" s="195">
        <v>361.01083032490976</v>
      </c>
      <c r="G59" s="195"/>
      <c r="I59" s="195">
        <v>450.11252813203305</v>
      </c>
      <c r="J59" s="195"/>
    </row>
    <row r="60" spans="1:10" ht="31.2" x14ac:dyDescent="0.3">
      <c r="A60" s="58">
        <v>4.1399999999999997</v>
      </c>
      <c r="B60" s="86" t="s">
        <v>95</v>
      </c>
      <c r="C60" s="81"/>
      <c r="D60" s="82"/>
      <c r="E60" s="83" t="s">
        <v>20</v>
      </c>
      <c r="F60" s="189" t="s">
        <v>5</v>
      </c>
      <c r="G60" s="189"/>
      <c r="I60" s="189" t="s">
        <v>5</v>
      </c>
      <c r="J60" s="189"/>
    </row>
    <row r="61" spans="1:10" ht="25.8" customHeight="1" x14ac:dyDescent="0.3">
      <c r="A61" s="58">
        <v>4.1500000000000004</v>
      </c>
      <c r="B61" s="87" t="s">
        <v>96</v>
      </c>
      <c r="C61" s="88"/>
      <c r="D61" s="89"/>
      <c r="E61" s="90"/>
      <c r="F61" s="196" t="s">
        <v>97</v>
      </c>
      <c r="G61" s="196"/>
      <c r="I61" s="192" t="s">
        <v>98</v>
      </c>
      <c r="J61" s="192"/>
    </row>
    <row r="62" spans="1:10" x14ac:dyDescent="0.3">
      <c r="A62" s="11" t="s">
        <v>99</v>
      </c>
      <c r="B62" s="91"/>
      <c r="C62" s="92"/>
      <c r="D62" s="92"/>
      <c r="E62" s="93"/>
      <c r="F62" s="197"/>
      <c r="G62" s="198"/>
      <c r="I62" s="199"/>
      <c r="J62" s="199"/>
    </row>
    <row r="63" spans="1:10" s="26" customFormat="1" ht="22.2" customHeight="1" x14ac:dyDescent="0.3">
      <c r="A63" s="52" t="s">
        <v>100</v>
      </c>
      <c r="B63" s="53"/>
      <c r="C63" s="53"/>
      <c r="D63" s="53"/>
      <c r="E63" s="53"/>
      <c r="F63" s="200"/>
      <c r="G63" s="177"/>
      <c r="I63" s="201"/>
      <c r="J63" s="178"/>
    </row>
    <row r="64" spans="1:10" s="26" customFormat="1" ht="54" customHeight="1" x14ac:dyDescent="0.3">
      <c r="A64" s="52"/>
      <c r="B64" s="53"/>
      <c r="C64" s="53"/>
      <c r="D64" s="53"/>
      <c r="E64" s="53"/>
      <c r="F64" s="200"/>
      <c r="G64" s="177"/>
      <c r="I64" s="201"/>
      <c r="J64" s="178"/>
    </row>
    <row r="65" spans="1:13" ht="43.2" customHeight="1" x14ac:dyDescent="0.3">
      <c r="A65" s="94" t="s">
        <v>11</v>
      </c>
      <c r="B65" s="95" t="s">
        <v>12</v>
      </c>
      <c r="C65" s="202" t="s">
        <v>13</v>
      </c>
      <c r="D65" s="202"/>
      <c r="E65" s="74" t="s">
        <v>14</v>
      </c>
      <c r="F65" s="203" t="str">
        <f>F27</f>
        <v>ICCP Sation-1 @KM 00+000
(Launcher)</v>
      </c>
      <c r="G65" s="203"/>
      <c r="I65" s="203" t="str">
        <f>I27</f>
        <v>ICCP Sation-2 @KM 41+488
(At Scraper Receiver)</v>
      </c>
      <c r="J65" s="203"/>
    </row>
    <row r="66" spans="1:13" ht="14.4" customHeight="1" x14ac:dyDescent="0.3">
      <c r="A66" s="94"/>
      <c r="B66" s="95"/>
      <c r="C66" s="183"/>
      <c r="D66" s="183"/>
      <c r="E66" s="74"/>
      <c r="F66" s="190" t="s">
        <v>101</v>
      </c>
      <c r="G66" s="190"/>
      <c r="I66" s="190" t="s">
        <v>101</v>
      </c>
      <c r="J66" s="190"/>
    </row>
    <row r="67" spans="1:13" ht="22.8" customHeight="1" x14ac:dyDescent="0.3">
      <c r="A67" s="58">
        <v>5.0999999999999996</v>
      </c>
      <c r="B67" s="50" t="s">
        <v>102</v>
      </c>
      <c r="C67" s="183"/>
      <c r="D67" s="183"/>
      <c r="E67" s="62" t="s">
        <v>103</v>
      </c>
      <c r="F67" s="185">
        <f t="shared" ref="F67" si="2">F48*100</f>
        <v>1500</v>
      </c>
      <c r="G67" s="185"/>
      <c r="I67" s="185">
        <f>I48*100</f>
        <v>300</v>
      </c>
      <c r="J67" s="185"/>
    </row>
    <row r="68" spans="1:13" ht="14.4" customHeight="1" x14ac:dyDescent="0.3">
      <c r="A68" s="58">
        <v>5.2</v>
      </c>
      <c r="B68" s="50" t="s">
        <v>104</v>
      </c>
      <c r="C68" s="183"/>
      <c r="D68" s="183"/>
      <c r="E68" s="62" t="s">
        <v>103</v>
      </c>
      <c r="F68" s="185">
        <f>F50*100</f>
        <v>213</v>
      </c>
      <c r="G68" s="185"/>
      <c r="I68" s="185">
        <f>I50*100</f>
        <v>213</v>
      </c>
      <c r="J68" s="185"/>
    </row>
    <row r="69" spans="1:13" ht="14.4" customHeight="1" x14ac:dyDescent="0.3">
      <c r="A69" s="58">
        <v>5.3</v>
      </c>
      <c r="B69" s="50" t="s">
        <v>105</v>
      </c>
      <c r="C69" s="183"/>
      <c r="D69" s="183"/>
      <c r="E69" s="62" t="s">
        <v>57</v>
      </c>
      <c r="F69" s="185">
        <v>1</v>
      </c>
      <c r="G69" s="185"/>
      <c r="I69" s="185">
        <f>I34</f>
        <v>12</v>
      </c>
      <c r="J69" s="185"/>
    </row>
    <row r="70" spans="1:13" ht="14.4" customHeight="1" x14ac:dyDescent="0.3">
      <c r="A70" s="58">
        <v>5.4</v>
      </c>
      <c r="B70" s="50" t="s">
        <v>86</v>
      </c>
      <c r="C70" s="181" t="s">
        <v>106</v>
      </c>
      <c r="D70" s="181"/>
      <c r="E70" s="62" t="s">
        <v>103</v>
      </c>
      <c r="F70" s="185">
        <v>100</v>
      </c>
      <c r="G70" s="185"/>
      <c r="I70" s="185">
        <f>I52*100</f>
        <v>200</v>
      </c>
      <c r="J70" s="185"/>
      <c r="K70" s="5">
        <f>I70*I69</f>
        <v>2400</v>
      </c>
      <c r="L70" s="5" t="s">
        <v>20</v>
      </c>
      <c r="M70" s="5" t="s">
        <v>107</v>
      </c>
    </row>
    <row r="71" spans="1:13" ht="14.4" customHeight="1" x14ac:dyDescent="0.3">
      <c r="A71" s="58">
        <v>5.5</v>
      </c>
      <c r="B71" s="50" t="s">
        <v>108</v>
      </c>
      <c r="C71" s="185" t="s">
        <v>109</v>
      </c>
      <c r="D71" s="185"/>
      <c r="E71" s="62" t="s">
        <v>94</v>
      </c>
      <c r="F71" s="204">
        <f>F59</f>
        <v>361.01083032490976</v>
      </c>
      <c r="G71" s="204"/>
      <c r="I71" s="204">
        <f>I59</f>
        <v>450.11252813203305</v>
      </c>
      <c r="J71" s="204"/>
    </row>
    <row r="72" spans="1:13" ht="15.6" customHeight="1" x14ac:dyDescent="0.3">
      <c r="A72" s="58">
        <v>5.6</v>
      </c>
      <c r="B72" s="50" t="s">
        <v>110</v>
      </c>
      <c r="C72" s="185" t="s">
        <v>111</v>
      </c>
      <c r="D72" s="185"/>
      <c r="E72" s="62" t="s">
        <v>103</v>
      </c>
      <c r="F72" s="185">
        <f t="shared" ref="F72" si="3">F55*100</f>
        <v>3500</v>
      </c>
      <c r="G72" s="185"/>
      <c r="I72" s="185">
        <f>I55*100</f>
        <v>300</v>
      </c>
      <c r="J72" s="185"/>
    </row>
    <row r="73" spans="1:13" ht="18" x14ac:dyDescent="0.3">
      <c r="A73" s="58">
        <v>5.7</v>
      </c>
      <c r="B73" s="50" t="s">
        <v>112</v>
      </c>
      <c r="C73" s="185" t="s">
        <v>113</v>
      </c>
      <c r="D73" s="185"/>
      <c r="E73" s="62" t="s">
        <v>103</v>
      </c>
      <c r="F73" s="185">
        <f t="shared" ref="F73" si="4">F58*100</f>
        <v>25</v>
      </c>
      <c r="G73" s="185"/>
      <c r="I73" s="185">
        <f>I58*100</f>
        <v>25</v>
      </c>
      <c r="J73" s="185"/>
    </row>
    <row r="74" spans="1:13" ht="14.4" customHeight="1" x14ac:dyDescent="0.3">
      <c r="A74" s="58">
        <v>5.8</v>
      </c>
      <c r="B74" s="50" t="s">
        <v>114</v>
      </c>
      <c r="C74" s="185" t="s">
        <v>63</v>
      </c>
      <c r="D74" s="185"/>
      <c r="E74" s="62" t="s">
        <v>57</v>
      </c>
      <c r="F74" s="185">
        <f t="shared" ref="F74" si="5">F49</f>
        <v>9</v>
      </c>
      <c r="G74" s="185"/>
      <c r="I74" s="185">
        <v>1</v>
      </c>
      <c r="J74" s="185"/>
    </row>
    <row r="75" spans="1:13" ht="15.6" customHeight="1" x14ac:dyDescent="0.3">
      <c r="A75" s="58">
        <v>5.9</v>
      </c>
      <c r="B75" s="50" t="s">
        <v>115</v>
      </c>
      <c r="C75" s="185" t="s">
        <v>116</v>
      </c>
      <c r="D75" s="185"/>
      <c r="E75" s="62" t="s">
        <v>117</v>
      </c>
      <c r="F75" s="205">
        <f t="shared" ref="F75" si="6">(F71/(2*PI()*F72))*(LN((8*F72/F73))-1)</f>
        <v>9.8843246589784592E-2</v>
      </c>
      <c r="G75" s="205"/>
      <c r="I75" s="205">
        <f>(I71/(2*PI()*I69*I72))*((LN((8*I72)/I73)-1)+((2*I72)/I70)*LN(0.656*I69))</f>
        <v>0.19410385367219576</v>
      </c>
      <c r="J75" s="205"/>
    </row>
    <row r="76" spans="1:13" s="26" customFormat="1" ht="22.2" customHeight="1" x14ac:dyDescent="0.3">
      <c r="A76" s="52" t="s">
        <v>118</v>
      </c>
      <c r="B76" s="53"/>
      <c r="C76" s="53"/>
      <c r="D76" s="53"/>
      <c r="E76" s="53"/>
      <c r="F76" s="177"/>
      <c r="G76" s="177"/>
      <c r="I76" s="178"/>
      <c r="J76" s="178"/>
    </row>
    <row r="77" spans="1:13" ht="44.4" customHeight="1" x14ac:dyDescent="0.3">
      <c r="A77" s="96" t="s">
        <v>119</v>
      </c>
      <c r="B77" s="97" t="s">
        <v>120</v>
      </c>
      <c r="C77" s="73" t="s">
        <v>13</v>
      </c>
      <c r="D77" s="73" t="s">
        <v>121</v>
      </c>
      <c r="E77" s="98" t="s">
        <v>14</v>
      </c>
      <c r="F77" s="190" t="str">
        <f>F27</f>
        <v>ICCP Sation-1 @KM 00+000
(Launcher)</v>
      </c>
      <c r="G77" s="190"/>
      <c r="I77" s="190" t="str">
        <f>I27</f>
        <v>ICCP Sation-2 @KM 41+488
(At Scraper Receiver)</v>
      </c>
      <c r="J77" s="190"/>
    </row>
    <row r="78" spans="1:13" ht="14.4" customHeight="1" x14ac:dyDescent="0.3">
      <c r="A78" s="94"/>
      <c r="B78" s="95"/>
      <c r="C78" s="94"/>
      <c r="D78" s="94"/>
      <c r="E78" s="74"/>
      <c r="F78" s="190" t="s">
        <v>101</v>
      </c>
      <c r="G78" s="190"/>
      <c r="I78" s="190" t="s">
        <v>101</v>
      </c>
      <c r="J78" s="190"/>
    </row>
    <row r="79" spans="1:13" ht="14.4" customHeight="1" x14ac:dyDescent="0.3">
      <c r="A79" s="61">
        <v>6.1</v>
      </c>
      <c r="B79" s="50" t="s">
        <v>122</v>
      </c>
      <c r="C79" s="61"/>
      <c r="D79" s="61"/>
      <c r="E79" s="99" t="s">
        <v>20</v>
      </c>
      <c r="F79" s="181">
        <f>F48+10</f>
        <v>25</v>
      </c>
      <c r="G79" s="181"/>
      <c r="I79" s="207">
        <v>40</v>
      </c>
      <c r="J79" s="207"/>
      <c r="L79" s="5">
        <v>41</v>
      </c>
    </row>
    <row r="80" spans="1:13" ht="14.4" customHeight="1" x14ac:dyDescent="0.3">
      <c r="A80" s="61">
        <v>6.2</v>
      </c>
      <c r="B80" s="50" t="s">
        <v>123</v>
      </c>
      <c r="C80" s="61"/>
      <c r="D80" s="61"/>
      <c r="E80" s="99" t="s">
        <v>20</v>
      </c>
      <c r="F80" s="181">
        <f>IF(ROW()-ROW($F$79)+1 &gt; $F$49, "",
   CEILING(F79 + $F$52 + $F$50, 5)
)</f>
        <v>30</v>
      </c>
      <c r="G80" s="181"/>
      <c r="I80" s="206">
        <v>40</v>
      </c>
      <c r="J80" s="181"/>
      <c r="L80" s="5">
        <v>41</v>
      </c>
    </row>
    <row r="81" spans="1:12" ht="14.4" customHeight="1" x14ac:dyDescent="0.3">
      <c r="A81" s="61">
        <v>6.3</v>
      </c>
      <c r="B81" s="50" t="s">
        <v>124</v>
      </c>
      <c r="C81" s="61"/>
      <c r="D81" s="61"/>
      <c r="E81" s="99" t="s">
        <v>20</v>
      </c>
      <c r="F81" s="181">
        <f t="shared" ref="F81:F98" si="7">IF(ROW()-ROW($F$79)+1 &gt; $F$49, "",
   CEILING(F80 + $F$52 + $F$50, 5)
)</f>
        <v>35</v>
      </c>
      <c r="G81" s="181"/>
      <c r="I81" s="206">
        <v>40</v>
      </c>
      <c r="J81" s="181"/>
      <c r="L81" s="5">
        <v>41</v>
      </c>
    </row>
    <row r="82" spans="1:12" ht="14.4" customHeight="1" x14ac:dyDescent="0.3">
      <c r="A82" s="61">
        <v>6.4</v>
      </c>
      <c r="B82" s="50" t="s">
        <v>125</v>
      </c>
      <c r="C82" s="61"/>
      <c r="D82" s="61"/>
      <c r="E82" s="99" t="s">
        <v>20</v>
      </c>
      <c r="F82" s="181">
        <f t="shared" si="7"/>
        <v>40</v>
      </c>
      <c r="G82" s="181"/>
      <c r="I82" s="206">
        <v>40</v>
      </c>
      <c r="J82" s="181"/>
      <c r="L82" s="5">
        <v>30</v>
      </c>
    </row>
    <row r="83" spans="1:12" ht="14.4" customHeight="1" x14ac:dyDescent="0.3">
      <c r="A83" s="61">
        <v>6.5</v>
      </c>
      <c r="B83" s="50" t="s">
        <v>126</v>
      </c>
      <c r="C83" s="61"/>
      <c r="D83" s="61"/>
      <c r="E83" s="99" t="s">
        <v>20</v>
      </c>
      <c r="F83" s="181">
        <f t="shared" si="7"/>
        <v>45</v>
      </c>
      <c r="G83" s="181"/>
      <c r="I83" s="206">
        <v>30</v>
      </c>
      <c r="J83" s="181"/>
      <c r="L83" s="5">
        <v>30</v>
      </c>
    </row>
    <row r="84" spans="1:12" ht="14.4" customHeight="1" x14ac:dyDescent="0.3">
      <c r="A84" s="61">
        <v>6.6</v>
      </c>
      <c r="B84" s="50" t="s">
        <v>127</v>
      </c>
      <c r="C84" s="61"/>
      <c r="D84" s="61"/>
      <c r="E84" s="99" t="s">
        <v>20</v>
      </c>
      <c r="F84" s="181">
        <f t="shared" si="7"/>
        <v>50</v>
      </c>
      <c r="G84" s="181"/>
      <c r="I84" s="206">
        <v>30</v>
      </c>
      <c r="J84" s="181"/>
      <c r="L84" s="5">
        <v>30</v>
      </c>
    </row>
    <row r="85" spans="1:12" ht="14.4" customHeight="1" x14ac:dyDescent="0.3">
      <c r="A85" s="61">
        <v>6.7</v>
      </c>
      <c r="B85" s="50" t="s">
        <v>128</v>
      </c>
      <c r="C85" s="61"/>
      <c r="D85" s="61"/>
      <c r="E85" s="99" t="s">
        <v>20</v>
      </c>
      <c r="F85" s="181">
        <f t="shared" si="7"/>
        <v>55</v>
      </c>
      <c r="G85" s="181"/>
      <c r="I85" s="206">
        <f>I84</f>
        <v>30</v>
      </c>
      <c r="J85" s="181"/>
      <c r="L85" s="5">
        <v>41</v>
      </c>
    </row>
    <row r="86" spans="1:12" ht="14.4" customHeight="1" x14ac:dyDescent="0.3">
      <c r="A86" s="61">
        <v>6.8</v>
      </c>
      <c r="B86" s="50" t="s">
        <v>129</v>
      </c>
      <c r="C86" s="61"/>
      <c r="D86" s="61"/>
      <c r="E86" s="99" t="s">
        <v>20</v>
      </c>
      <c r="F86" s="181">
        <f t="shared" si="7"/>
        <v>60</v>
      </c>
      <c r="G86" s="181"/>
      <c r="I86" s="206">
        <f>I84</f>
        <v>30</v>
      </c>
      <c r="J86" s="181"/>
      <c r="L86" s="5">
        <v>41</v>
      </c>
    </row>
    <row r="87" spans="1:12" ht="14.4" customHeight="1" x14ac:dyDescent="0.3">
      <c r="A87" s="61">
        <v>6.9</v>
      </c>
      <c r="B87" s="50" t="s">
        <v>130</v>
      </c>
      <c r="C87" s="61"/>
      <c r="D87" s="61"/>
      <c r="E87" s="99" t="s">
        <v>20</v>
      </c>
      <c r="F87" s="181">
        <f t="shared" si="7"/>
        <v>65</v>
      </c>
      <c r="G87" s="181"/>
      <c r="I87" s="206">
        <f>I82</f>
        <v>40</v>
      </c>
      <c r="J87" s="181"/>
      <c r="L87" s="5">
        <v>41</v>
      </c>
    </row>
    <row r="88" spans="1:12" ht="14.4" customHeight="1" x14ac:dyDescent="0.3">
      <c r="A88" s="51">
        <v>6.1</v>
      </c>
      <c r="B88" s="50" t="s">
        <v>131</v>
      </c>
      <c r="C88" s="61"/>
      <c r="D88" s="61"/>
      <c r="E88" s="99" t="s">
        <v>20</v>
      </c>
      <c r="F88" s="181" t="str">
        <f t="shared" si="7"/>
        <v/>
      </c>
      <c r="G88" s="181"/>
      <c r="I88" s="206">
        <f>I82</f>
        <v>40</v>
      </c>
      <c r="J88" s="181"/>
    </row>
    <row r="89" spans="1:12" ht="14.4" customHeight="1" x14ac:dyDescent="0.3">
      <c r="A89" s="61">
        <v>6.11</v>
      </c>
      <c r="B89" s="50" t="s">
        <v>132</v>
      </c>
      <c r="C89" s="61"/>
      <c r="D89" s="61"/>
      <c r="E89" s="99" t="s">
        <v>20</v>
      </c>
      <c r="F89" s="181" t="str">
        <f t="shared" si="7"/>
        <v/>
      </c>
      <c r="G89" s="181"/>
      <c r="I89" s="206">
        <f>I80</f>
        <v>40</v>
      </c>
      <c r="J89" s="181"/>
    </row>
    <row r="90" spans="1:12" ht="14.4" customHeight="1" x14ac:dyDescent="0.3">
      <c r="A90" s="61">
        <v>6.12</v>
      </c>
      <c r="B90" s="50" t="s">
        <v>133</v>
      </c>
      <c r="C90" s="61"/>
      <c r="D90" s="61"/>
      <c r="E90" s="99" t="s">
        <v>20</v>
      </c>
      <c r="F90" s="181" t="str">
        <f t="shared" si="7"/>
        <v/>
      </c>
      <c r="G90" s="181"/>
      <c r="I90" s="206">
        <f>I79</f>
        <v>40</v>
      </c>
      <c r="J90" s="181"/>
    </row>
    <row r="91" spans="1:12" ht="14.4" hidden="1" customHeight="1" x14ac:dyDescent="0.3">
      <c r="A91" s="61">
        <v>13</v>
      </c>
      <c r="B91" s="50" t="s">
        <v>134</v>
      </c>
      <c r="C91" s="61"/>
      <c r="D91" s="61"/>
      <c r="E91" s="99" t="s">
        <v>20</v>
      </c>
      <c r="F91" s="190" t="str">
        <f t="shared" si="7"/>
        <v/>
      </c>
      <c r="G91" s="190"/>
      <c r="I91" s="190"/>
      <c r="J91" s="190"/>
    </row>
    <row r="92" spans="1:12" ht="14.4" hidden="1" customHeight="1" x14ac:dyDescent="0.3">
      <c r="A92" s="61">
        <v>14</v>
      </c>
      <c r="B92" s="50" t="s">
        <v>135</v>
      </c>
      <c r="C92" s="61"/>
      <c r="D92" s="61"/>
      <c r="E92" s="99" t="s">
        <v>20</v>
      </c>
      <c r="F92" s="190" t="str">
        <f t="shared" si="7"/>
        <v/>
      </c>
      <c r="G92" s="190"/>
      <c r="I92" s="190"/>
      <c r="J92" s="190"/>
    </row>
    <row r="93" spans="1:12" ht="14.4" hidden="1" customHeight="1" x14ac:dyDescent="0.3">
      <c r="A93" s="61">
        <v>15</v>
      </c>
      <c r="B93" s="50" t="s">
        <v>136</v>
      </c>
      <c r="C93" s="61"/>
      <c r="D93" s="61"/>
      <c r="E93" s="99" t="s">
        <v>20</v>
      </c>
      <c r="F93" s="190" t="str">
        <f t="shared" si="7"/>
        <v/>
      </c>
      <c r="G93" s="190"/>
      <c r="I93" s="190"/>
      <c r="J93" s="190"/>
    </row>
    <row r="94" spans="1:12" ht="14.4" hidden="1" customHeight="1" x14ac:dyDescent="0.3">
      <c r="A94" s="61">
        <v>16</v>
      </c>
      <c r="B94" s="50" t="s">
        <v>137</v>
      </c>
      <c r="C94" s="61"/>
      <c r="D94" s="61"/>
      <c r="E94" s="99" t="s">
        <v>20</v>
      </c>
      <c r="F94" s="190" t="str">
        <f t="shared" si="7"/>
        <v/>
      </c>
      <c r="G94" s="190"/>
      <c r="I94" s="190"/>
      <c r="J94" s="190"/>
    </row>
    <row r="95" spans="1:12" ht="14.4" hidden="1" customHeight="1" x14ac:dyDescent="0.3">
      <c r="A95" s="61">
        <v>17</v>
      </c>
      <c r="B95" s="50" t="s">
        <v>138</v>
      </c>
      <c r="C95" s="61"/>
      <c r="D95" s="61"/>
      <c r="E95" s="99" t="s">
        <v>20</v>
      </c>
      <c r="F95" s="190" t="str">
        <f t="shared" si="7"/>
        <v/>
      </c>
      <c r="G95" s="190"/>
      <c r="I95" s="190"/>
      <c r="J95" s="190"/>
    </row>
    <row r="96" spans="1:12" ht="14.4" hidden="1" customHeight="1" x14ac:dyDescent="0.3">
      <c r="A96" s="61">
        <v>18</v>
      </c>
      <c r="B96" s="50" t="s">
        <v>139</v>
      </c>
      <c r="C96" s="61"/>
      <c r="D96" s="61"/>
      <c r="E96" s="99" t="s">
        <v>20</v>
      </c>
      <c r="F96" s="190" t="str">
        <f t="shared" si="7"/>
        <v/>
      </c>
      <c r="G96" s="190"/>
      <c r="I96" s="190"/>
      <c r="J96" s="190"/>
    </row>
    <row r="97" spans="1:10" ht="14.4" hidden="1" customHeight="1" x14ac:dyDescent="0.3">
      <c r="A97" s="61">
        <v>19</v>
      </c>
      <c r="B97" s="50" t="s">
        <v>140</v>
      </c>
      <c r="C97" s="61"/>
      <c r="D97" s="61"/>
      <c r="E97" s="99" t="s">
        <v>20</v>
      </c>
      <c r="F97" s="190" t="str">
        <f t="shared" si="7"/>
        <v/>
      </c>
      <c r="G97" s="190"/>
      <c r="I97" s="190"/>
      <c r="J97" s="190"/>
    </row>
    <row r="98" spans="1:10" ht="14.4" hidden="1" customHeight="1" x14ac:dyDescent="0.3">
      <c r="A98" s="61">
        <v>20</v>
      </c>
      <c r="B98" s="50" t="s">
        <v>141</v>
      </c>
      <c r="C98" s="61"/>
      <c r="D98" s="61"/>
      <c r="E98" s="99" t="s">
        <v>20</v>
      </c>
      <c r="F98" s="190" t="str">
        <f t="shared" si="7"/>
        <v/>
      </c>
      <c r="G98" s="190"/>
      <c r="I98" s="190"/>
      <c r="J98" s="190"/>
    </row>
    <row r="99" spans="1:10" ht="14.4" customHeight="1" x14ac:dyDescent="0.3">
      <c r="A99" s="61"/>
      <c r="B99" s="50"/>
      <c r="C99" s="61"/>
      <c r="D99" s="61"/>
      <c r="E99" s="99"/>
      <c r="F99" s="208"/>
      <c r="G99" s="208"/>
      <c r="I99" s="190"/>
      <c r="J99" s="190"/>
    </row>
    <row r="100" spans="1:10" s="102" customFormat="1" ht="14.4" customHeight="1" x14ac:dyDescent="0.3">
      <c r="A100" s="100" t="s">
        <v>142</v>
      </c>
      <c r="B100" s="101"/>
      <c r="C100" s="73" t="s">
        <v>42</v>
      </c>
      <c r="D100" s="73" t="s">
        <v>121</v>
      </c>
      <c r="E100" s="98" t="s">
        <v>143</v>
      </c>
      <c r="F100" s="208"/>
      <c r="G100" s="208"/>
      <c r="I100" s="208"/>
      <c r="J100" s="208"/>
    </row>
    <row r="101" spans="1:10" x14ac:dyDescent="0.3">
      <c r="A101" s="61">
        <v>6.13</v>
      </c>
      <c r="B101" s="50" t="s">
        <v>144</v>
      </c>
      <c r="C101" s="103" t="s">
        <v>145</v>
      </c>
      <c r="D101" s="104">
        <v>1.673E-3</v>
      </c>
      <c r="E101" s="99" t="s">
        <v>146</v>
      </c>
      <c r="F101" s="209">
        <f t="shared" ref="F101:F120" si="8">IF(F79="", "", F79 * $D$101)</f>
        <v>4.1825000000000001E-2</v>
      </c>
      <c r="G101" s="209"/>
      <c r="I101" s="209">
        <f t="shared" ref="I101:I120" si="9">IF(I79="", "", I79 * $D$101)</f>
        <v>6.6920000000000007E-2</v>
      </c>
      <c r="J101" s="209"/>
    </row>
    <row r="102" spans="1:10" x14ac:dyDescent="0.3">
      <c r="A102" s="61">
        <v>6.14</v>
      </c>
      <c r="B102" s="50" t="s">
        <v>147</v>
      </c>
      <c r="C102" s="103" t="s">
        <v>148</v>
      </c>
      <c r="D102" s="104">
        <v>1.673E-3</v>
      </c>
      <c r="E102" s="99" t="s">
        <v>146</v>
      </c>
      <c r="F102" s="209">
        <f t="shared" si="8"/>
        <v>5.0189999999999999E-2</v>
      </c>
      <c r="G102" s="209"/>
      <c r="I102" s="209">
        <f t="shared" si="9"/>
        <v>6.6920000000000007E-2</v>
      </c>
      <c r="J102" s="209"/>
    </row>
    <row r="103" spans="1:10" x14ac:dyDescent="0.3">
      <c r="A103" s="61">
        <v>6.15</v>
      </c>
      <c r="B103" s="50" t="s">
        <v>149</v>
      </c>
      <c r="C103" s="103" t="s">
        <v>150</v>
      </c>
      <c r="D103" s="104">
        <v>1.673E-3</v>
      </c>
      <c r="E103" s="99" t="s">
        <v>146</v>
      </c>
      <c r="F103" s="209">
        <f t="shared" si="8"/>
        <v>5.8555000000000003E-2</v>
      </c>
      <c r="G103" s="209"/>
      <c r="I103" s="209">
        <f t="shared" si="9"/>
        <v>6.6920000000000007E-2</v>
      </c>
      <c r="J103" s="209"/>
    </row>
    <row r="104" spans="1:10" x14ac:dyDescent="0.3">
      <c r="A104" s="61">
        <v>6.16</v>
      </c>
      <c r="B104" s="50" t="s">
        <v>151</v>
      </c>
      <c r="C104" s="103" t="s">
        <v>152</v>
      </c>
      <c r="D104" s="104">
        <v>1.673E-3</v>
      </c>
      <c r="E104" s="99" t="s">
        <v>146</v>
      </c>
      <c r="F104" s="209">
        <f t="shared" si="8"/>
        <v>6.6920000000000007E-2</v>
      </c>
      <c r="G104" s="209"/>
      <c r="I104" s="209">
        <f t="shared" si="9"/>
        <v>6.6920000000000007E-2</v>
      </c>
      <c r="J104" s="209"/>
    </row>
    <row r="105" spans="1:10" x14ac:dyDescent="0.3">
      <c r="A105" s="61">
        <v>6.17</v>
      </c>
      <c r="B105" s="50" t="s">
        <v>153</v>
      </c>
      <c r="C105" s="103" t="s">
        <v>154</v>
      </c>
      <c r="D105" s="104">
        <v>1.673E-3</v>
      </c>
      <c r="E105" s="99" t="s">
        <v>146</v>
      </c>
      <c r="F105" s="209">
        <f t="shared" si="8"/>
        <v>7.5285000000000005E-2</v>
      </c>
      <c r="G105" s="209"/>
      <c r="I105" s="209">
        <f t="shared" si="9"/>
        <v>5.0189999999999999E-2</v>
      </c>
      <c r="J105" s="209"/>
    </row>
    <row r="106" spans="1:10" x14ac:dyDescent="0.3">
      <c r="A106" s="61">
        <v>6.18</v>
      </c>
      <c r="B106" s="50" t="s">
        <v>155</v>
      </c>
      <c r="C106" s="103" t="s">
        <v>156</v>
      </c>
      <c r="D106" s="104">
        <v>1.673E-3</v>
      </c>
      <c r="E106" s="99" t="s">
        <v>146</v>
      </c>
      <c r="F106" s="209">
        <f t="shared" si="8"/>
        <v>8.3650000000000002E-2</v>
      </c>
      <c r="G106" s="209"/>
      <c r="I106" s="209">
        <f t="shared" si="9"/>
        <v>5.0189999999999999E-2</v>
      </c>
      <c r="J106" s="209"/>
    </row>
    <row r="107" spans="1:10" x14ac:dyDescent="0.3">
      <c r="A107" s="61">
        <v>6.19</v>
      </c>
      <c r="B107" s="50" t="s">
        <v>157</v>
      </c>
      <c r="C107" s="103" t="s">
        <v>158</v>
      </c>
      <c r="D107" s="104">
        <v>1.673E-3</v>
      </c>
      <c r="E107" s="99" t="s">
        <v>146</v>
      </c>
      <c r="F107" s="209">
        <f t="shared" si="8"/>
        <v>9.2015E-2</v>
      </c>
      <c r="G107" s="209"/>
      <c r="I107" s="209">
        <f t="shared" si="9"/>
        <v>5.0189999999999999E-2</v>
      </c>
      <c r="J107" s="209"/>
    </row>
    <row r="108" spans="1:10" x14ac:dyDescent="0.3">
      <c r="A108" s="51">
        <v>6.2</v>
      </c>
      <c r="B108" s="50" t="s">
        <v>159</v>
      </c>
      <c r="C108" s="103" t="s">
        <v>160</v>
      </c>
      <c r="D108" s="104">
        <v>1.673E-3</v>
      </c>
      <c r="E108" s="99" t="s">
        <v>146</v>
      </c>
      <c r="F108" s="209">
        <f t="shared" si="8"/>
        <v>0.10038</v>
      </c>
      <c r="G108" s="209"/>
      <c r="I108" s="209">
        <f t="shared" si="9"/>
        <v>5.0189999999999999E-2</v>
      </c>
      <c r="J108" s="209"/>
    </row>
    <row r="109" spans="1:10" x14ac:dyDescent="0.3">
      <c r="A109" s="61">
        <v>6.21</v>
      </c>
      <c r="B109" s="50" t="s">
        <v>161</v>
      </c>
      <c r="C109" s="103" t="s">
        <v>162</v>
      </c>
      <c r="D109" s="104">
        <v>1.673E-3</v>
      </c>
      <c r="E109" s="99" t="s">
        <v>146</v>
      </c>
      <c r="F109" s="209">
        <f t="shared" si="8"/>
        <v>0.10874499999999999</v>
      </c>
      <c r="G109" s="209"/>
      <c r="I109" s="209">
        <f t="shared" si="9"/>
        <v>6.6920000000000007E-2</v>
      </c>
      <c r="J109" s="209"/>
    </row>
    <row r="110" spans="1:10" ht="18" customHeight="1" x14ac:dyDescent="0.3">
      <c r="A110" s="61">
        <v>6.22</v>
      </c>
      <c r="B110" s="50" t="s">
        <v>163</v>
      </c>
      <c r="C110" s="103" t="s">
        <v>164</v>
      </c>
      <c r="D110" s="104">
        <v>1.673E-3</v>
      </c>
      <c r="E110" s="99" t="s">
        <v>146</v>
      </c>
      <c r="F110" s="209" t="str">
        <f t="shared" si="8"/>
        <v/>
      </c>
      <c r="G110" s="209"/>
      <c r="I110" s="209">
        <f t="shared" si="9"/>
        <v>6.6920000000000007E-2</v>
      </c>
      <c r="J110" s="209"/>
    </row>
    <row r="111" spans="1:10" ht="15.6" customHeight="1" x14ac:dyDescent="0.3">
      <c r="A111" s="61">
        <v>6.23</v>
      </c>
      <c r="B111" s="50" t="s">
        <v>165</v>
      </c>
      <c r="C111" s="103" t="s">
        <v>166</v>
      </c>
      <c r="D111" s="104">
        <v>1.673E-3</v>
      </c>
      <c r="E111" s="99" t="s">
        <v>146</v>
      </c>
      <c r="F111" s="209" t="str">
        <f t="shared" si="8"/>
        <v/>
      </c>
      <c r="G111" s="209"/>
      <c r="I111" s="209">
        <f t="shared" si="9"/>
        <v>6.6920000000000007E-2</v>
      </c>
      <c r="J111" s="209"/>
    </row>
    <row r="112" spans="1:10" ht="15.6" customHeight="1" x14ac:dyDescent="0.3">
      <c r="A112" s="61">
        <v>6.24</v>
      </c>
      <c r="B112" s="50" t="s">
        <v>167</v>
      </c>
      <c r="C112" s="103" t="s">
        <v>168</v>
      </c>
      <c r="D112" s="104">
        <v>1.673E-3</v>
      </c>
      <c r="E112" s="99" t="s">
        <v>146</v>
      </c>
      <c r="F112" s="209" t="str">
        <f t="shared" si="8"/>
        <v/>
      </c>
      <c r="G112" s="209"/>
      <c r="I112" s="209">
        <f t="shared" si="9"/>
        <v>6.6920000000000007E-2</v>
      </c>
      <c r="J112" s="209"/>
    </row>
    <row r="113" spans="1:10" ht="15.6" hidden="1" customHeight="1" x14ac:dyDescent="0.3">
      <c r="A113" s="61">
        <v>6.25</v>
      </c>
      <c r="B113" s="50" t="s">
        <v>169</v>
      </c>
      <c r="C113" s="103" t="s">
        <v>170</v>
      </c>
      <c r="D113" s="104">
        <v>1.673E-3</v>
      </c>
      <c r="E113" s="99" t="s">
        <v>146</v>
      </c>
      <c r="F113" s="209" t="str">
        <f t="shared" si="8"/>
        <v/>
      </c>
      <c r="G113" s="209"/>
      <c r="I113" s="209" t="str">
        <f t="shared" si="9"/>
        <v/>
      </c>
      <c r="J113" s="209"/>
    </row>
    <row r="114" spans="1:10" ht="15.6" hidden="1" customHeight="1" x14ac:dyDescent="0.3">
      <c r="A114" s="61">
        <v>6.26</v>
      </c>
      <c r="B114" s="50" t="s">
        <v>171</v>
      </c>
      <c r="C114" s="103" t="s">
        <v>172</v>
      </c>
      <c r="D114" s="104">
        <v>1.673E-3</v>
      </c>
      <c r="E114" s="99" t="s">
        <v>146</v>
      </c>
      <c r="F114" s="209" t="str">
        <f t="shared" si="8"/>
        <v/>
      </c>
      <c r="G114" s="209"/>
      <c r="I114" s="209" t="str">
        <f t="shared" si="9"/>
        <v/>
      </c>
      <c r="J114" s="209"/>
    </row>
    <row r="115" spans="1:10" s="102" customFormat="1" ht="15.6" hidden="1" customHeight="1" x14ac:dyDescent="0.3">
      <c r="A115" s="61">
        <v>6.27</v>
      </c>
      <c r="B115" s="50" t="s">
        <v>173</v>
      </c>
      <c r="C115" s="103" t="s">
        <v>174</v>
      </c>
      <c r="D115" s="104">
        <v>1.673E-3</v>
      </c>
      <c r="E115" s="99" t="s">
        <v>146</v>
      </c>
      <c r="F115" s="209" t="str">
        <f t="shared" si="8"/>
        <v/>
      </c>
      <c r="G115" s="209"/>
      <c r="I115" s="209" t="str">
        <f t="shared" si="9"/>
        <v/>
      </c>
      <c r="J115" s="209"/>
    </row>
    <row r="116" spans="1:10" s="102" customFormat="1" ht="15.6" hidden="1" customHeight="1" x14ac:dyDescent="0.3">
      <c r="A116" s="61">
        <v>6.28</v>
      </c>
      <c r="B116" s="50" t="s">
        <v>173</v>
      </c>
      <c r="C116" s="103" t="s">
        <v>175</v>
      </c>
      <c r="D116" s="104">
        <v>1.673E-3</v>
      </c>
      <c r="E116" s="99" t="s">
        <v>146</v>
      </c>
      <c r="F116" s="209" t="str">
        <f t="shared" si="8"/>
        <v/>
      </c>
      <c r="G116" s="209"/>
      <c r="I116" s="209" t="str">
        <f t="shared" si="9"/>
        <v/>
      </c>
      <c r="J116" s="209"/>
    </row>
    <row r="117" spans="1:10" s="102" customFormat="1" ht="15.6" hidden="1" customHeight="1" x14ac:dyDescent="0.3">
      <c r="A117" s="61">
        <v>6.29</v>
      </c>
      <c r="B117" s="50" t="s">
        <v>173</v>
      </c>
      <c r="C117" s="103" t="s">
        <v>176</v>
      </c>
      <c r="D117" s="104">
        <v>1.673E-3</v>
      </c>
      <c r="E117" s="99" t="s">
        <v>146</v>
      </c>
      <c r="F117" s="209" t="str">
        <f t="shared" si="8"/>
        <v/>
      </c>
      <c r="G117" s="209"/>
      <c r="I117" s="209" t="str">
        <f t="shared" si="9"/>
        <v/>
      </c>
      <c r="J117" s="209"/>
    </row>
    <row r="118" spans="1:10" s="102" customFormat="1" ht="15.6" hidden="1" customHeight="1" x14ac:dyDescent="0.3">
      <c r="A118" s="61">
        <v>6.3</v>
      </c>
      <c r="B118" s="50" t="s">
        <v>173</v>
      </c>
      <c r="C118" s="103" t="s">
        <v>177</v>
      </c>
      <c r="D118" s="104">
        <v>1.673E-3</v>
      </c>
      <c r="E118" s="99" t="s">
        <v>146</v>
      </c>
      <c r="F118" s="209" t="str">
        <f t="shared" si="8"/>
        <v/>
      </c>
      <c r="G118" s="209"/>
      <c r="I118" s="209" t="str">
        <f t="shared" si="9"/>
        <v/>
      </c>
      <c r="J118" s="209"/>
    </row>
    <row r="119" spans="1:10" s="102" customFormat="1" ht="15.6" hidden="1" customHeight="1" x14ac:dyDescent="0.3">
      <c r="A119" s="61">
        <v>6.31</v>
      </c>
      <c r="B119" s="50" t="s">
        <v>173</v>
      </c>
      <c r="C119" s="103" t="s">
        <v>178</v>
      </c>
      <c r="D119" s="104">
        <v>1.673E-3</v>
      </c>
      <c r="E119" s="99" t="s">
        <v>146</v>
      </c>
      <c r="F119" s="209" t="str">
        <f t="shared" si="8"/>
        <v/>
      </c>
      <c r="G119" s="209"/>
      <c r="I119" s="209" t="str">
        <f t="shared" si="9"/>
        <v/>
      </c>
      <c r="J119" s="209"/>
    </row>
    <row r="120" spans="1:10" s="102" customFormat="1" ht="15.6" hidden="1" customHeight="1" x14ac:dyDescent="0.3">
      <c r="A120" s="61">
        <v>6.32</v>
      </c>
      <c r="B120" s="50" t="s">
        <v>173</v>
      </c>
      <c r="C120" s="103" t="s">
        <v>179</v>
      </c>
      <c r="D120" s="104">
        <v>1.673E-3</v>
      </c>
      <c r="E120" s="99" t="s">
        <v>146</v>
      </c>
      <c r="F120" s="209" t="str">
        <f t="shared" si="8"/>
        <v/>
      </c>
      <c r="G120" s="209"/>
      <c r="I120" s="209" t="str">
        <f t="shared" si="9"/>
        <v/>
      </c>
      <c r="J120" s="209"/>
    </row>
    <row r="121" spans="1:10" x14ac:dyDescent="0.3">
      <c r="A121" s="61">
        <v>6.25</v>
      </c>
      <c r="B121" s="50" t="s">
        <v>180</v>
      </c>
      <c r="C121" s="103" t="s">
        <v>181</v>
      </c>
      <c r="D121" s="104" t="s">
        <v>5</v>
      </c>
      <c r="E121" s="99" t="s">
        <v>146</v>
      </c>
      <c r="F121" s="210" cm="1">
        <f t="array" ref="F121">1/SUMPRODUCT(IF((F101:F120&lt;&gt;0)*(ISNUMBER(F101:F120)), 1/(F101:F120), 0))</f>
        <v>7.6267293791414401E-3</v>
      </c>
      <c r="G121" s="210"/>
      <c r="I121" s="210" cm="1">
        <f t="array" ref="I121">1/SUMPRODUCT(IF((I101:I120&lt;&gt;0)*(ISNUMBER(I101:I120)), 1/(I101:I120), 0))</f>
        <v>5.019E-3</v>
      </c>
      <c r="J121" s="210"/>
    </row>
    <row r="122" spans="1:10" x14ac:dyDescent="0.3">
      <c r="A122" s="61"/>
      <c r="B122" s="50"/>
      <c r="C122" s="61"/>
      <c r="D122" s="61"/>
      <c r="E122" s="99"/>
      <c r="F122" s="210"/>
      <c r="G122" s="210"/>
      <c r="I122" s="210"/>
      <c r="J122" s="210"/>
    </row>
    <row r="123" spans="1:10" ht="15.6" hidden="1" customHeight="1" x14ac:dyDescent="0.3">
      <c r="A123" s="61">
        <v>13</v>
      </c>
      <c r="B123" s="50" t="s">
        <v>182</v>
      </c>
      <c r="C123" s="61"/>
      <c r="D123" s="71"/>
      <c r="E123" s="99" t="s">
        <v>43</v>
      </c>
      <c r="F123" s="208"/>
      <c r="G123" s="208"/>
      <c r="I123" s="208"/>
      <c r="J123" s="208"/>
    </row>
    <row r="124" spans="1:10" ht="15.6" hidden="1" customHeight="1" x14ac:dyDescent="0.3">
      <c r="A124" s="61">
        <v>14</v>
      </c>
      <c r="B124" s="50" t="s">
        <v>183</v>
      </c>
      <c r="D124" s="61">
        <v>6.5899999999999997E-4</v>
      </c>
      <c r="E124" s="99" t="s">
        <v>146</v>
      </c>
      <c r="F124" s="210"/>
      <c r="G124" s="210"/>
      <c r="I124" s="210"/>
      <c r="J124" s="210"/>
    </row>
    <row r="125" spans="1:10" ht="15.6" hidden="1" customHeight="1" x14ac:dyDescent="0.3">
      <c r="A125" s="61"/>
      <c r="B125" s="50"/>
      <c r="C125" s="61"/>
      <c r="D125" s="61"/>
      <c r="E125" s="99"/>
      <c r="F125" s="210"/>
      <c r="G125" s="210"/>
      <c r="I125" s="210"/>
      <c r="J125" s="210"/>
    </row>
    <row r="126" spans="1:10" ht="31.2" x14ac:dyDescent="0.3">
      <c r="A126" s="58">
        <v>6.26</v>
      </c>
      <c r="B126" s="50" t="s">
        <v>184</v>
      </c>
      <c r="C126" s="58"/>
      <c r="D126" s="58"/>
      <c r="E126" s="62" t="s">
        <v>117</v>
      </c>
      <c r="F126" s="210">
        <f t="shared" ref="F126" si="10">F124+F121</f>
        <v>7.6267293791414401E-3</v>
      </c>
      <c r="G126" s="210"/>
      <c r="I126" s="210">
        <f t="shared" ref="I126" si="11">I124+I121</f>
        <v>5.019E-3</v>
      </c>
      <c r="J126" s="210"/>
    </row>
    <row r="127" spans="1:10" x14ac:dyDescent="0.3">
      <c r="A127" s="100" t="s">
        <v>185</v>
      </c>
      <c r="B127" s="101"/>
      <c r="C127" s="73" t="s">
        <v>42</v>
      </c>
      <c r="D127" s="73" t="s">
        <v>121</v>
      </c>
      <c r="E127" s="98" t="s">
        <v>143</v>
      </c>
      <c r="F127" s="190" t="str">
        <f>F27</f>
        <v>ICCP Sation-1 @KM 00+000
(Launcher)</v>
      </c>
      <c r="G127" s="190"/>
      <c r="I127" s="190" t="str">
        <f>I27</f>
        <v>ICCP Sation-2 @KM 41+488
(At Scraper Receiver)</v>
      </c>
      <c r="J127" s="190"/>
    </row>
    <row r="128" spans="1:10" x14ac:dyDescent="0.3">
      <c r="A128" s="105"/>
      <c r="B128" s="105"/>
      <c r="C128" s="73"/>
      <c r="D128" s="73"/>
      <c r="E128" s="98"/>
      <c r="F128" s="190" t="s">
        <v>101</v>
      </c>
      <c r="G128" s="190"/>
      <c r="I128" s="190" t="s">
        <v>101</v>
      </c>
      <c r="J128" s="190"/>
    </row>
    <row r="129" spans="1:10" x14ac:dyDescent="0.3">
      <c r="A129" s="58">
        <v>6.27</v>
      </c>
      <c r="B129" s="105" t="s">
        <v>186</v>
      </c>
      <c r="C129" s="73"/>
      <c r="D129" s="73"/>
      <c r="E129" s="98"/>
      <c r="F129" s="211">
        <f>F75</f>
        <v>9.8843246589784592E-2</v>
      </c>
      <c r="G129" s="211"/>
      <c r="I129" s="211">
        <f>I75</f>
        <v>0.19410385367219576</v>
      </c>
      <c r="J129" s="211"/>
    </row>
    <row r="130" spans="1:10" ht="15.6" hidden="1" customHeight="1" x14ac:dyDescent="0.3">
      <c r="A130" s="58">
        <v>16</v>
      </c>
      <c r="B130" s="105" t="s">
        <v>184</v>
      </c>
      <c r="C130" s="73"/>
      <c r="D130" s="73"/>
      <c r="E130" s="98"/>
      <c r="F130" s="211"/>
      <c r="G130" s="211"/>
      <c r="I130" s="211"/>
      <c r="J130" s="211"/>
    </row>
    <row r="131" spans="1:10" ht="15.6" hidden="1" customHeight="1" x14ac:dyDescent="0.3">
      <c r="A131" s="58">
        <v>17</v>
      </c>
      <c r="B131" s="50" t="s">
        <v>185</v>
      </c>
      <c r="C131" s="58"/>
      <c r="D131" s="58"/>
      <c r="E131" s="62" t="s">
        <v>117</v>
      </c>
      <c r="F131" s="212"/>
      <c r="G131" s="212"/>
      <c r="I131" s="212"/>
      <c r="J131" s="212"/>
    </row>
    <row r="132" spans="1:10" x14ac:dyDescent="0.3">
      <c r="A132" s="58"/>
      <c r="B132" s="50"/>
      <c r="C132" s="58"/>
      <c r="D132" s="58"/>
      <c r="E132" s="62"/>
      <c r="F132" s="212"/>
      <c r="G132" s="212"/>
      <c r="I132" s="212"/>
      <c r="J132" s="212"/>
    </row>
    <row r="133" spans="1:10" x14ac:dyDescent="0.3">
      <c r="A133" s="58">
        <v>6.28</v>
      </c>
      <c r="B133" s="50" t="s">
        <v>187</v>
      </c>
      <c r="C133" s="61"/>
      <c r="D133" s="61"/>
      <c r="E133" s="99" t="s">
        <v>43</v>
      </c>
      <c r="F133" s="213">
        <v>180</v>
      </c>
      <c r="G133" s="213"/>
      <c r="I133" s="208">
        <v>180</v>
      </c>
      <c r="J133" s="208"/>
    </row>
    <row r="134" spans="1:10" ht="18" x14ac:dyDescent="0.3">
      <c r="A134" s="61">
        <v>6.29</v>
      </c>
      <c r="B134" s="50" t="s">
        <v>188</v>
      </c>
      <c r="C134" s="61" t="s">
        <v>189</v>
      </c>
      <c r="D134" s="61">
        <v>6.5899999999999997E-4</v>
      </c>
      <c r="E134" s="99" t="s">
        <v>146</v>
      </c>
      <c r="F134" s="210">
        <f>F133*$D$134</f>
        <v>0.11861999999999999</v>
      </c>
      <c r="G134" s="210"/>
      <c r="I134" s="210">
        <f>I133*$D$134</f>
        <v>0.11861999999999999</v>
      </c>
      <c r="J134" s="210"/>
    </row>
    <row r="135" spans="1:10" x14ac:dyDescent="0.3">
      <c r="A135" s="61"/>
      <c r="B135" s="50"/>
      <c r="C135" s="61"/>
      <c r="D135" s="61"/>
      <c r="E135" s="99"/>
      <c r="F135" s="210"/>
      <c r="G135" s="210"/>
      <c r="I135" s="210"/>
      <c r="J135" s="210"/>
    </row>
    <row r="136" spans="1:10" s="102" customFormat="1" x14ac:dyDescent="0.3">
      <c r="A136" s="106" t="s">
        <v>190</v>
      </c>
      <c r="B136" s="101"/>
      <c r="C136" s="73" t="s">
        <v>42</v>
      </c>
      <c r="D136" s="73" t="s">
        <v>121</v>
      </c>
      <c r="E136" s="98" t="s">
        <v>143</v>
      </c>
      <c r="F136" s="210"/>
      <c r="G136" s="210"/>
      <c r="I136" s="210"/>
      <c r="J136" s="210"/>
    </row>
    <row r="137" spans="1:10" x14ac:dyDescent="0.3">
      <c r="A137" s="51">
        <v>6.3</v>
      </c>
      <c r="B137" s="50" t="s">
        <v>191</v>
      </c>
      <c r="C137" s="61"/>
      <c r="D137" s="61"/>
      <c r="E137" s="99" t="s">
        <v>43</v>
      </c>
      <c r="F137" s="213">
        <v>100</v>
      </c>
      <c r="G137" s="213"/>
      <c r="I137" s="208">
        <v>100</v>
      </c>
      <c r="J137" s="208"/>
    </row>
    <row r="138" spans="1:10" ht="18" x14ac:dyDescent="0.3">
      <c r="A138" s="61">
        <v>6.31</v>
      </c>
      <c r="B138" s="50" t="s">
        <v>192</v>
      </c>
      <c r="C138" s="61" t="s">
        <v>193</v>
      </c>
      <c r="D138" s="61">
        <v>6.5899999999999997E-4</v>
      </c>
      <c r="E138" s="57" t="s">
        <v>146</v>
      </c>
      <c r="F138" s="210">
        <f>F137*$D$138</f>
        <v>6.59E-2</v>
      </c>
      <c r="G138" s="210"/>
      <c r="I138" s="210">
        <f>I137*$D$138</f>
        <v>6.59E-2</v>
      </c>
      <c r="J138" s="210"/>
    </row>
    <row r="139" spans="1:10" x14ac:dyDescent="0.3">
      <c r="A139" s="61">
        <v>6.32</v>
      </c>
      <c r="B139" s="50" t="s">
        <v>194</v>
      </c>
      <c r="C139" s="61"/>
      <c r="D139" s="61"/>
      <c r="E139" s="99" t="s">
        <v>43</v>
      </c>
      <c r="F139" s="213">
        <v>60</v>
      </c>
      <c r="G139" s="213"/>
      <c r="I139" s="208">
        <v>60</v>
      </c>
      <c r="J139" s="208"/>
    </row>
    <row r="140" spans="1:10" ht="18" x14ac:dyDescent="0.3">
      <c r="A140" s="61">
        <v>6.33</v>
      </c>
      <c r="B140" s="107" t="s">
        <v>195</v>
      </c>
      <c r="C140" s="61" t="s">
        <v>196</v>
      </c>
      <c r="D140" s="61">
        <v>1.0529999999999999E-3</v>
      </c>
      <c r="E140" s="57" t="s">
        <v>146</v>
      </c>
      <c r="F140" s="210">
        <f>F139*$D$140</f>
        <v>6.318E-2</v>
      </c>
      <c r="G140" s="210"/>
      <c r="I140" s="210">
        <f>I139*$D$140</f>
        <v>6.318E-2</v>
      </c>
      <c r="J140" s="210"/>
    </row>
    <row r="141" spans="1:10" x14ac:dyDescent="0.3">
      <c r="A141" s="73">
        <v>6.34</v>
      </c>
      <c r="B141" s="108" t="s">
        <v>197</v>
      </c>
      <c r="C141" s="109"/>
      <c r="D141" s="73"/>
      <c r="E141" s="98"/>
      <c r="F141" s="210">
        <f>F140+F138</f>
        <v>0.12908</v>
      </c>
      <c r="G141" s="210"/>
      <c r="I141" s="210">
        <f>I140+I138</f>
        <v>0.12908</v>
      </c>
      <c r="J141" s="210"/>
    </row>
    <row r="142" spans="1:10" s="102" customFormat="1" x14ac:dyDescent="0.3">
      <c r="A142" s="101" t="s">
        <v>198</v>
      </c>
      <c r="B142" s="101"/>
      <c r="C142" s="73" t="s">
        <v>42</v>
      </c>
      <c r="D142" s="73" t="s">
        <v>121</v>
      </c>
      <c r="E142" s="98" t="s">
        <v>143</v>
      </c>
      <c r="F142" s="210"/>
      <c r="G142" s="210"/>
      <c r="I142" s="210"/>
      <c r="J142" s="210"/>
    </row>
    <row r="143" spans="1:10" ht="18" x14ac:dyDescent="0.3">
      <c r="A143" s="61">
        <v>6.35</v>
      </c>
      <c r="B143" s="108" t="s">
        <v>199</v>
      </c>
      <c r="C143" s="61" t="s">
        <v>200</v>
      </c>
      <c r="D143" s="73" t="s">
        <v>5</v>
      </c>
      <c r="E143" s="98" t="s">
        <v>5</v>
      </c>
      <c r="F143" s="210">
        <f>F121+F134+F141</f>
        <v>0.25532672937914147</v>
      </c>
      <c r="G143" s="210"/>
      <c r="I143" s="210">
        <f>I121+I134+I141</f>
        <v>0.25271899999999997</v>
      </c>
      <c r="J143" s="210"/>
    </row>
    <row r="144" spans="1:10" s="26" customFormat="1" ht="22.2" customHeight="1" x14ac:dyDescent="0.3">
      <c r="A144" s="52" t="s">
        <v>201</v>
      </c>
      <c r="B144" s="53"/>
      <c r="C144" s="53"/>
      <c r="D144" s="53"/>
      <c r="E144" s="53"/>
      <c r="F144" s="177"/>
      <c r="G144" s="177"/>
      <c r="I144" s="178"/>
      <c r="J144" s="178"/>
    </row>
    <row r="145" spans="1:10" ht="18" x14ac:dyDescent="0.3">
      <c r="A145" s="6" t="s">
        <v>202</v>
      </c>
      <c r="B145" s="110"/>
      <c r="C145" s="110"/>
      <c r="D145" s="110"/>
      <c r="E145" s="110"/>
      <c r="F145" s="215"/>
      <c r="G145" s="215"/>
      <c r="I145" s="215"/>
      <c r="J145" s="215"/>
    </row>
    <row r="146" spans="1:10" ht="46.8" customHeight="1" x14ac:dyDescent="0.3">
      <c r="A146" s="94" t="s">
        <v>11</v>
      </c>
      <c r="B146" s="95" t="s">
        <v>12</v>
      </c>
      <c r="C146" s="94"/>
      <c r="D146" s="94" t="s">
        <v>42</v>
      </c>
      <c r="E146" s="74" t="s">
        <v>14</v>
      </c>
      <c r="F146" s="190" t="str">
        <f>F27</f>
        <v>ICCP Sation-1 @KM 00+000
(Launcher)</v>
      </c>
      <c r="G146" s="190"/>
      <c r="I146" s="190" t="str">
        <f>I27</f>
        <v>ICCP Sation-2 @KM 41+488
(At Scraper Receiver)</v>
      </c>
      <c r="J146" s="190"/>
    </row>
    <row r="147" spans="1:10" ht="18" x14ac:dyDescent="0.3">
      <c r="A147" s="58">
        <v>7.1</v>
      </c>
      <c r="B147" s="60" t="s">
        <v>203</v>
      </c>
      <c r="C147" s="60"/>
      <c r="D147" s="58" t="s">
        <v>204</v>
      </c>
      <c r="E147" s="99" t="s">
        <v>32</v>
      </c>
      <c r="F147" s="214">
        <f>F32</f>
        <v>25</v>
      </c>
      <c r="G147" s="214"/>
      <c r="I147" s="214">
        <f>I32</f>
        <v>35</v>
      </c>
      <c r="J147" s="214"/>
    </row>
    <row r="148" spans="1:10" ht="18" x14ac:dyDescent="0.3">
      <c r="A148" s="58">
        <v>7.2</v>
      </c>
      <c r="B148" s="60" t="s">
        <v>205</v>
      </c>
      <c r="C148" s="60"/>
      <c r="D148" s="58" t="s">
        <v>206</v>
      </c>
      <c r="E148" s="99" t="s">
        <v>207</v>
      </c>
      <c r="F148" s="214">
        <v>2</v>
      </c>
      <c r="G148" s="214"/>
      <c r="I148" s="214">
        <v>2</v>
      </c>
      <c r="J148" s="214"/>
    </row>
    <row r="149" spans="1:10" ht="18" x14ac:dyDescent="0.3">
      <c r="A149" s="58">
        <v>7.3</v>
      </c>
      <c r="B149" s="60" t="s">
        <v>208</v>
      </c>
      <c r="C149" s="60"/>
      <c r="D149" s="58" t="s">
        <v>209</v>
      </c>
      <c r="E149" s="99" t="s">
        <v>146</v>
      </c>
      <c r="F149" s="214">
        <f>F148/F147</f>
        <v>0.08</v>
      </c>
      <c r="G149" s="214"/>
      <c r="I149" s="214">
        <f>I148/I147</f>
        <v>5.7142857142857141E-2</v>
      </c>
      <c r="J149" s="214"/>
    </row>
    <row r="150" spans="1:10" s="26" customFormat="1" ht="22.2" customHeight="1" x14ac:dyDescent="0.3">
      <c r="A150" s="52" t="s">
        <v>210</v>
      </c>
      <c r="B150" s="53"/>
      <c r="C150" s="53"/>
      <c r="D150" s="53"/>
      <c r="E150" s="53"/>
      <c r="F150" s="177"/>
      <c r="G150" s="177"/>
      <c r="I150" s="178"/>
      <c r="J150" s="178"/>
    </row>
    <row r="151" spans="1:10" ht="46.8" customHeight="1" x14ac:dyDescent="0.3">
      <c r="A151" s="94" t="s">
        <v>11</v>
      </c>
      <c r="B151" s="95" t="s">
        <v>12</v>
      </c>
      <c r="C151" s="94"/>
      <c r="D151" s="94" t="s">
        <v>42</v>
      </c>
      <c r="E151" s="74" t="s">
        <v>14</v>
      </c>
      <c r="F151" s="190" t="str">
        <f>F27</f>
        <v>ICCP Sation-1 @KM 00+000
(Launcher)</v>
      </c>
      <c r="G151" s="190"/>
      <c r="I151" s="190" t="str">
        <f>I27</f>
        <v>ICCP Sation-2 @KM 41+488
(At Scraper Receiver)</v>
      </c>
      <c r="J151" s="190"/>
    </row>
    <row r="152" spans="1:10" ht="18" x14ac:dyDescent="0.3">
      <c r="A152" s="58">
        <v>8.1</v>
      </c>
      <c r="B152" s="60" t="s">
        <v>142</v>
      </c>
      <c r="C152" s="60"/>
      <c r="D152" s="58" t="s">
        <v>116</v>
      </c>
      <c r="E152" s="99" t="s">
        <v>146</v>
      </c>
      <c r="F152" s="205">
        <f>F134+F129</f>
        <v>0.21746324658978458</v>
      </c>
      <c r="G152" s="205"/>
      <c r="I152" s="205">
        <f>I134+I129</f>
        <v>0.31272385367219574</v>
      </c>
      <c r="J152" s="205"/>
    </row>
    <row r="153" spans="1:10" ht="18" x14ac:dyDescent="0.3">
      <c r="A153" s="58">
        <v>8.1999999999999993</v>
      </c>
      <c r="B153" s="60" t="s">
        <v>190</v>
      </c>
      <c r="C153" s="60"/>
      <c r="D153" s="58" t="s">
        <v>200</v>
      </c>
      <c r="E153" s="99" t="s">
        <v>146</v>
      </c>
      <c r="F153" s="205">
        <f>F141</f>
        <v>0.12908</v>
      </c>
      <c r="G153" s="205"/>
      <c r="I153" s="205">
        <f>I141</f>
        <v>0.12908</v>
      </c>
      <c r="J153" s="205"/>
    </row>
    <row r="154" spans="1:10" ht="18" x14ac:dyDescent="0.3">
      <c r="A154" s="58">
        <v>8.3000000000000007</v>
      </c>
      <c r="B154" s="60" t="s">
        <v>208</v>
      </c>
      <c r="C154" s="60"/>
      <c r="D154" s="58" t="s">
        <v>209</v>
      </c>
      <c r="E154" s="99" t="s">
        <v>146</v>
      </c>
      <c r="F154" s="205">
        <f>F149</f>
        <v>0.08</v>
      </c>
      <c r="G154" s="205"/>
      <c r="I154" s="205">
        <f>I149</f>
        <v>5.7142857142857141E-2</v>
      </c>
      <c r="J154" s="205"/>
    </row>
    <row r="155" spans="1:10" ht="18" x14ac:dyDescent="0.3">
      <c r="A155" s="58">
        <v>8.4</v>
      </c>
      <c r="B155" s="60" t="s">
        <v>211</v>
      </c>
      <c r="C155" s="60"/>
      <c r="D155" s="58" t="s">
        <v>212</v>
      </c>
      <c r="E155" s="99" t="s">
        <v>146</v>
      </c>
      <c r="F155" s="205">
        <v>5.5E-2</v>
      </c>
      <c r="G155" s="205"/>
      <c r="I155" s="205">
        <v>5.5E-2</v>
      </c>
      <c r="J155" s="205"/>
    </row>
    <row r="156" spans="1:10" ht="18" x14ac:dyDescent="0.3">
      <c r="A156" s="58">
        <v>8.5</v>
      </c>
      <c r="B156" s="60" t="s">
        <v>213</v>
      </c>
      <c r="C156" s="60"/>
      <c r="D156" s="58" t="s">
        <v>214</v>
      </c>
      <c r="E156" s="99" t="s">
        <v>146</v>
      </c>
      <c r="F156" s="205">
        <f>F153+F152+F154+F155</f>
        <v>0.48154324658978459</v>
      </c>
      <c r="G156" s="205"/>
      <c r="I156" s="205">
        <f>I153+I152+I154+I155</f>
        <v>0.55394671081505298</v>
      </c>
      <c r="J156" s="205"/>
    </row>
    <row r="157" spans="1:10" s="26" customFormat="1" ht="22.2" customHeight="1" x14ac:dyDescent="0.3">
      <c r="A157" s="52" t="s">
        <v>215</v>
      </c>
      <c r="B157" s="53"/>
      <c r="C157" s="53"/>
      <c r="D157" s="53"/>
      <c r="E157" s="53"/>
      <c r="F157" s="177"/>
      <c r="G157" s="177"/>
      <c r="I157" s="178"/>
      <c r="J157" s="178"/>
    </row>
    <row r="158" spans="1:10" ht="33.6" customHeight="1" x14ac:dyDescent="0.3">
      <c r="A158" s="94" t="s">
        <v>11</v>
      </c>
      <c r="B158" s="95" t="s">
        <v>12</v>
      </c>
      <c r="C158" s="94"/>
      <c r="D158" s="94" t="s">
        <v>42</v>
      </c>
      <c r="E158" s="74" t="s">
        <v>14</v>
      </c>
      <c r="F158" s="190" t="str">
        <f>F27</f>
        <v>ICCP Sation-1 @KM 00+000
(Launcher)</v>
      </c>
      <c r="G158" s="190"/>
      <c r="I158" s="190" t="str">
        <f>I27</f>
        <v>ICCP Sation-2 @KM 41+488
(At Scraper Receiver)</v>
      </c>
      <c r="J158" s="190"/>
    </row>
    <row r="159" spans="1:10" ht="14.4" customHeight="1" x14ac:dyDescent="0.3">
      <c r="A159" s="58">
        <v>9.1</v>
      </c>
      <c r="B159" s="60" t="s">
        <v>216</v>
      </c>
      <c r="C159" s="60"/>
      <c r="D159" s="58"/>
      <c r="E159" s="99" t="s">
        <v>146</v>
      </c>
      <c r="F159" s="214">
        <f>F156</f>
        <v>0.48154324658978459</v>
      </c>
      <c r="G159" s="214"/>
      <c r="I159" s="214">
        <f>I156</f>
        <v>0.55394671081505298</v>
      </c>
      <c r="J159" s="214"/>
    </row>
    <row r="160" spans="1:10" ht="14.4" customHeight="1" x14ac:dyDescent="0.3">
      <c r="A160" s="58">
        <v>9.1999999999999993</v>
      </c>
      <c r="B160" s="60" t="s">
        <v>217</v>
      </c>
      <c r="C160" s="60"/>
      <c r="D160" s="58"/>
      <c r="E160" s="99" t="s">
        <v>32</v>
      </c>
      <c r="F160" s="214">
        <f>F32</f>
        <v>25</v>
      </c>
      <c r="G160" s="214"/>
      <c r="I160" s="214">
        <f>I32</f>
        <v>35</v>
      </c>
      <c r="J160" s="214"/>
    </row>
    <row r="161" spans="1:10" ht="14.4" customHeight="1" x14ac:dyDescent="0.3">
      <c r="A161" s="58">
        <v>9.3000000000000007</v>
      </c>
      <c r="B161" s="60" t="s">
        <v>218</v>
      </c>
      <c r="C161" s="60"/>
      <c r="D161" s="58"/>
      <c r="E161" s="99" t="s">
        <v>207</v>
      </c>
      <c r="F161" s="214">
        <f>(F159*F160)/0.7</f>
        <v>17.197973092492308</v>
      </c>
      <c r="G161" s="214"/>
      <c r="I161" s="214">
        <f>(I159*I160)/0.7</f>
        <v>27.697335540752654</v>
      </c>
      <c r="J161" s="214"/>
    </row>
    <row r="162" spans="1:10" ht="14.4" customHeight="1" x14ac:dyDescent="0.3">
      <c r="A162" s="58">
        <v>9.4</v>
      </c>
      <c r="B162" s="60" t="s">
        <v>219</v>
      </c>
      <c r="C162" s="60"/>
      <c r="D162" s="58"/>
      <c r="E162" s="99" t="s">
        <v>207</v>
      </c>
      <c r="F162" s="216">
        <v>30</v>
      </c>
      <c r="G162" s="216"/>
      <c r="I162" s="216">
        <v>50</v>
      </c>
      <c r="J162" s="216"/>
    </row>
    <row r="163" spans="1:10" s="26" customFormat="1" ht="22.2" customHeight="1" x14ac:dyDescent="0.3">
      <c r="A163" s="52" t="s">
        <v>220</v>
      </c>
      <c r="B163" s="53"/>
      <c r="C163" s="53"/>
      <c r="D163" s="53"/>
      <c r="E163" s="53"/>
      <c r="F163" s="177"/>
      <c r="G163" s="177"/>
      <c r="I163" s="178"/>
      <c r="J163" s="178"/>
    </row>
    <row r="164" spans="1:10" ht="19.8" customHeight="1" x14ac:dyDescent="0.3">
      <c r="A164" s="6" t="s">
        <v>221</v>
      </c>
      <c r="B164" s="110"/>
      <c r="C164" s="110"/>
      <c r="D164" s="110"/>
      <c r="E164" s="110"/>
      <c r="F164" s="215"/>
      <c r="G164" s="215"/>
      <c r="I164" s="215"/>
      <c r="J164" s="215"/>
    </row>
    <row r="165" spans="1:10" ht="43.2" customHeight="1" x14ac:dyDescent="0.3">
      <c r="A165" s="54" t="s">
        <v>11</v>
      </c>
      <c r="B165" s="54" t="s">
        <v>12</v>
      </c>
      <c r="C165" s="179" t="s">
        <v>42</v>
      </c>
      <c r="D165" s="179"/>
      <c r="E165" s="72" t="s">
        <v>14</v>
      </c>
      <c r="F165" s="190" t="str">
        <f>F27</f>
        <v>ICCP Sation-1 @KM 00+000
(Launcher)</v>
      </c>
      <c r="G165" s="190"/>
      <c r="I165" s="190" t="str">
        <f>I27</f>
        <v>ICCP Sation-2 @KM 41+488
(At Scraper Receiver)</v>
      </c>
      <c r="J165" s="190"/>
    </row>
    <row r="166" spans="1:10" ht="15.6" customHeight="1" x14ac:dyDescent="0.3">
      <c r="A166" s="58">
        <v>10.1</v>
      </c>
      <c r="B166" s="60" t="s">
        <v>222</v>
      </c>
      <c r="C166" s="185" t="s">
        <v>223</v>
      </c>
      <c r="D166" s="185"/>
      <c r="E166" s="99" t="s">
        <v>224</v>
      </c>
      <c r="F166" s="214">
        <f>F143</f>
        <v>0.25532672937914147</v>
      </c>
      <c r="G166" s="214"/>
      <c r="I166" s="214">
        <f>I143</f>
        <v>0.25271899999999997</v>
      </c>
      <c r="J166" s="214"/>
    </row>
    <row r="167" spans="1:10" ht="15.6" customHeight="1" x14ac:dyDescent="0.3">
      <c r="A167" s="58">
        <v>10.199999999999999</v>
      </c>
      <c r="B167" s="60" t="s">
        <v>225</v>
      </c>
      <c r="C167" s="185" t="s">
        <v>226</v>
      </c>
      <c r="D167" s="185"/>
      <c r="E167" s="99" t="s">
        <v>207</v>
      </c>
      <c r="F167" s="214">
        <f>F162</f>
        <v>30</v>
      </c>
      <c r="G167" s="214"/>
      <c r="I167" s="214">
        <f>I162</f>
        <v>50</v>
      </c>
      <c r="J167" s="214"/>
    </row>
    <row r="168" spans="1:10" ht="14.4" customHeight="1" x14ac:dyDescent="0.3">
      <c r="A168" s="58">
        <v>10.3</v>
      </c>
      <c r="B168" s="60" t="s">
        <v>227</v>
      </c>
      <c r="C168" s="185" t="s">
        <v>228</v>
      </c>
      <c r="D168" s="185"/>
      <c r="E168" s="99" t="s">
        <v>32</v>
      </c>
      <c r="F168" s="214">
        <f>F32</f>
        <v>25</v>
      </c>
      <c r="G168" s="214"/>
      <c r="I168" s="214">
        <f>I32</f>
        <v>35</v>
      </c>
      <c r="J168" s="214"/>
    </row>
    <row r="169" spans="1:10" ht="14.4" customHeight="1" x14ac:dyDescent="0.3">
      <c r="A169" s="58">
        <v>10.4</v>
      </c>
      <c r="B169" s="60" t="s">
        <v>205</v>
      </c>
      <c r="C169" s="185" t="s">
        <v>229</v>
      </c>
      <c r="D169" s="185"/>
      <c r="E169" s="99" t="s">
        <v>207</v>
      </c>
      <c r="F169" s="214">
        <v>2</v>
      </c>
      <c r="G169" s="214"/>
      <c r="I169" s="214">
        <v>2</v>
      </c>
      <c r="J169" s="214"/>
    </row>
    <row r="170" spans="1:10" ht="15.6" customHeight="1" x14ac:dyDescent="0.3">
      <c r="A170" s="58">
        <v>10.5</v>
      </c>
      <c r="B170" s="60" t="s">
        <v>230</v>
      </c>
      <c r="C170" s="185" t="s">
        <v>231</v>
      </c>
      <c r="D170" s="185"/>
      <c r="E170" s="99" t="s">
        <v>224</v>
      </c>
      <c r="F170" s="214">
        <f>F155</f>
        <v>5.5E-2</v>
      </c>
      <c r="G170" s="214"/>
      <c r="I170" s="214">
        <f>I155</f>
        <v>5.5E-2</v>
      </c>
      <c r="J170" s="214"/>
    </row>
    <row r="171" spans="1:10" ht="15.6" customHeight="1" x14ac:dyDescent="0.3">
      <c r="A171" s="58">
        <v>10.6</v>
      </c>
      <c r="B171" s="60" t="s">
        <v>232</v>
      </c>
      <c r="C171" s="185" t="s">
        <v>233</v>
      </c>
      <c r="D171" s="185"/>
      <c r="E171" s="99" t="s">
        <v>224</v>
      </c>
      <c r="F171" s="214">
        <f>(0.7*((F167-F169)/F168))-F166-F170</f>
        <v>0.47367327062085857</v>
      </c>
      <c r="G171" s="214"/>
      <c r="I171" s="214">
        <f>(0.7*((I167-I169)/I168))-I166-I170</f>
        <v>0.652281</v>
      </c>
      <c r="J171" s="214"/>
    </row>
    <row r="172" spans="1:10" ht="15.6" customHeight="1" x14ac:dyDescent="0.3">
      <c r="A172" s="58">
        <v>10.7</v>
      </c>
      <c r="B172" s="60" t="s">
        <v>115</v>
      </c>
      <c r="C172" s="185" t="s">
        <v>116</v>
      </c>
      <c r="D172" s="185"/>
      <c r="E172" s="99" t="s">
        <v>117</v>
      </c>
      <c r="F172" s="214">
        <f>F129</f>
        <v>9.8843246589784592E-2</v>
      </c>
      <c r="G172" s="214"/>
      <c r="I172" s="214">
        <f>I129</f>
        <v>0.19410385367219576</v>
      </c>
      <c r="J172" s="214"/>
    </row>
    <row r="173" spans="1:10" ht="30.6" customHeight="1" x14ac:dyDescent="0.3">
      <c r="A173" s="58">
        <v>10.8</v>
      </c>
      <c r="B173" s="50" t="s">
        <v>234</v>
      </c>
      <c r="C173" s="217"/>
      <c r="D173" s="217"/>
      <c r="E173" s="99"/>
      <c r="F173" s="218" t="str">
        <f t="shared" ref="F173" si="12">IF(F172&lt;F171,"YES","NO")</f>
        <v>YES</v>
      </c>
      <c r="G173" s="218"/>
      <c r="I173" s="218" t="str">
        <f t="shared" ref="I173" si="13">IF(I172&lt;I171,"YES","NO")</f>
        <v>YES</v>
      </c>
      <c r="J173" s="218"/>
    </row>
    <row r="174" spans="1:10" s="26" customFormat="1" ht="22.2" customHeight="1" x14ac:dyDescent="0.3">
      <c r="A174" s="52" t="s">
        <v>235</v>
      </c>
      <c r="B174" s="53"/>
      <c r="C174" s="53"/>
      <c r="D174" s="53"/>
      <c r="E174" s="53"/>
      <c r="F174" s="177"/>
      <c r="G174" s="177"/>
      <c r="I174" s="178"/>
      <c r="J174" s="178"/>
    </row>
    <row r="175" spans="1:10" ht="43.2" customHeight="1" x14ac:dyDescent="0.3">
      <c r="A175" s="94" t="s">
        <v>11</v>
      </c>
      <c r="B175" s="94" t="s">
        <v>12</v>
      </c>
      <c r="C175" s="202" t="s">
        <v>42</v>
      </c>
      <c r="D175" s="202"/>
      <c r="E175" s="74" t="s">
        <v>14</v>
      </c>
      <c r="F175" s="190" t="str">
        <f>F27</f>
        <v>ICCP Sation-1 @KM 00+000
(Launcher)</v>
      </c>
      <c r="G175" s="190"/>
      <c r="I175" s="190" t="str">
        <f>I27</f>
        <v>ICCP Sation-2 @KM 41+488
(At Scraper Receiver)</v>
      </c>
      <c r="J175" s="190"/>
    </row>
    <row r="176" spans="1:10" ht="15.6" customHeight="1" x14ac:dyDescent="0.3">
      <c r="A176" s="58">
        <v>10.9</v>
      </c>
      <c r="B176" s="60" t="s">
        <v>236</v>
      </c>
      <c r="C176" s="185" t="s">
        <v>237</v>
      </c>
      <c r="D176" s="185"/>
      <c r="E176" s="99" t="s">
        <v>32</v>
      </c>
      <c r="F176" s="214">
        <f>F32</f>
        <v>25</v>
      </c>
      <c r="G176" s="214"/>
      <c r="I176" s="214">
        <f>I32</f>
        <v>35</v>
      </c>
      <c r="J176" s="214"/>
    </row>
    <row r="177" spans="1:10" ht="15.6" customHeight="1" x14ac:dyDescent="0.3">
      <c r="A177" s="85">
        <v>10.1</v>
      </c>
      <c r="B177" s="60" t="s">
        <v>238</v>
      </c>
      <c r="C177" s="185" t="s">
        <v>239</v>
      </c>
      <c r="D177" s="185"/>
      <c r="E177" s="99" t="s">
        <v>207</v>
      </c>
      <c r="F177" s="214">
        <f>F162</f>
        <v>30</v>
      </c>
      <c r="G177" s="214"/>
      <c r="I177" s="214">
        <f>I162</f>
        <v>50</v>
      </c>
      <c r="J177" s="214"/>
    </row>
    <row r="178" spans="1:10" ht="15.6" customHeight="1" x14ac:dyDescent="0.3">
      <c r="A178" s="58">
        <v>10.11</v>
      </c>
      <c r="B178" s="60" t="s">
        <v>240</v>
      </c>
      <c r="C178" s="185" t="s">
        <v>241</v>
      </c>
      <c r="D178" s="185"/>
      <c r="E178" s="99" t="s">
        <v>146</v>
      </c>
      <c r="F178" s="214">
        <f>(F177/F176)*0.7</f>
        <v>0.84</v>
      </c>
      <c r="G178" s="214"/>
      <c r="I178" s="214">
        <f>(I177/I176)*0.7</f>
        <v>1</v>
      </c>
      <c r="J178" s="214"/>
    </row>
    <row r="179" spans="1:10" ht="15.6" customHeight="1" x14ac:dyDescent="0.3">
      <c r="A179" s="58">
        <v>10.119999999999999</v>
      </c>
      <c r="B179" s="60" t="s">
        <v>242</v>
      </c>
      <c r="C179" s="185" t="s">
        <v>243</v>
      </c>
      <c r="D179" s="185"/>
      <c r="E179" s="99" t="s">
        <v>146</v>
      </c>
      <c r="F179" s="214">
        <f>F156</f>
        <v>0.48154324658978459</v>
      </c>
      <c r="G179" s="214"/>
      <c r="I179" s="214">
        <f>I156</f>
        <v>0.55394671081505298</v>
      </c>
      <c r="J179" s="214"/>
    </row>
    <row r="180" spans="1:10" ht="28.8" customHeight="1" x14ac:dyDescent="0.3">
      <c r="A180" s="58">
        <v>10.130000000000001</v>
      </c>
      <c r="B180" s="50" t="s">
        <v>244</v>
      </c>
      <c r="C180" s="217"/>
      <c r="D180" s="217"/>
      <c r="E180" s="99"/>
      <c r="F180" s="218" t="str">
        <f>IF(F179&lt;F178,"YES","NO")</f>
        <v>YES</v>
      </c>
      <c r="G180" s="218"/>
      <c r="I180" s="218" t="str">
        <f>IF(I179&lt;I178,"YES","NO")</f>
        <v>YES</v>
      </c>
      <c r="J180" s="218"/>
    </row>
    <row r="181" spans="1:10" s="26" customFormat="1" ht="22.2" customHeight="1" x14ac:dyDescent="0.3">
      <c r="A181" s="52" t="s">
        <v>245</v>
      </c>
      <c r="B181" s="53"/>
      <c r="C181" s="53"/>
      <c r="D181" s="53"/>
      <c r="E181" s="53"/>
      <c r="F181" s="177"/>
      <c r="G181" s="177"/>
      <c r="I181" s="178"/>
      <c r="J181" s="178"/>
    </row>
    <row r="182" spans="1:10" ht="43.2" customHeight="1" x14ac:dyDescent="0.3">
      <c r="A182" s="94" t="s">
        <v>11</v>
      </c>
      <c r="B182" s="94" t="s">
        <v>12</v>
      </c>
      <c r="C182" s="202" t="s">
        <v>42</v>
      </c>
      <c r="D182" s="202"/>
      <c r="E182" s="74" t="s">
        <v>14</v>
      </c>
      <c r="F182" s="190" t="str">
        <f>F27</f>
        <v>ICCP Sation-1 @KM 00+000
(Launcher)</v>
      </c>
      <c r="G182" s="190"/>
      <c r="I182" s="190" t="str">
        <f>I27</f>
        <v>ICCP Sation-2 @KM 41+488
(At Scraper Receiver)</v>
      </c>
      <c r="J182" s="190"/>
    </row>
    <row r="183" spans="1:10" ht="15.6" customHeight="1" x14ac:dyDescent="0.3">
      <c r="A183" s="58">
        <v>10.14</v>
      </c>
      <c r="B183" s="60" t="s">
        <v>203</v>
      </c>
      <c r="C183" s="185" t="s">
        <v>246</v>
      </c>
      <c r="D183" s="185"/>
      <c r="E183" s="99" t="s">
        <v>32</v>
      </c>
      <c r="F183" s="214">
        <f>F176</f>
        <v>25</v>
      </c>
      <c r="G183" s="214"/>
      <c r="I183" s="214">
        <f>I176</f>
        <v>35</v>
      </c>
      <c r="J183" s="214"/>
    </row>
    <row r="184" spans="1:10" ht="15.6" customHeight="1" x14ac:dyDescent="0.3">
      <c r="A184" s="58">
        <v>10.15</v>
      </c>
      <c r="B184" s="60" t="s">
        <v>238</v>
      </c>
      <c r="C184" s="185" t="s">
        <v>247</v>
      </c>
      <c r="D184" s="185"/>
      <c r="E184" s="99" t="s">
        <v>207</v>
      </c>
      <c r="F184" s="214">
        <f>F177</f>
        <v>30</v>
      </c>
      <c r="G184" s="214"/>
      <c r="I184" s="214">
        <f>I177</f>
        <v>50</v>
      </c>
      <c r="J184" s="214"/>
    </row>
    <row r="185" spans="1:10" ht="28.8" customHeight="1" x14ac:dyDescent="0.3">
      <c r="A185" s="58">
        <v>10.16</v>
      </c>
      <c r="B185" s="50" t="s">
        <v>248</v>
      </c>
      <c r="C185" s="185" t="s">
        <v>249</v>
      </c>
      <c r="D185" s="185"/>
      <c r="E185" s="99" t="s">
        <v>146</v>
      </c>
      <c r="F185" s="214">
        <f>(F184/F183)*0.9</f>
        <v>1.08</v>
      </c>
      <c r="G185" s="214"/>
      <c r="I185" s="214">
        <f>(I184/I183)*0.9</f>
        <v>1.2857142857142858</v>
      </c>
      <c r="J185" s="214"/>
    </row>
    <row r="186" spans="1:10" ht="15.6" customHeight="1" x14ac:dyDescent="0.3">
      <c r="A186" s="58">
        <v>10.17</v>
      </c>
      <c r="B186" s="60" t="s">
        <v>250</v>
      </c>
      <c r="C186" s="185" t="s">
        <v>214</v>
      </c>
      <c r="D186" s="185"/>
      <c r="E186" s="99" t="s">
        <v>146</v>
      </c>
      <c r="F186" s="214">
        <f>F156</f>
        <v>0.48154324658978459</v>
      </c>
      <c r="G186" s="214"/>
      <c r="I186" s="214">
        <f>I156</f>
        <v>0.55394671081505298</v>
      </c>
      <c r="J186" s="214"/>
    </row>
    <row r="187" spans="1:10" ht="28.8" customHeight="1" x14ac:dyDescent="0.3">
      <c r="A187" s="58">
        <v>10.18</v>
      </c>
      <c r="B187" s="50" t="s">
        <v>251</v>
      </c>
      <c r="C187" s="217"/>
      <c r="D187" s="217"/>
      <c r="E187" s="99"/>
      <c r="F187" s="218" t="str">
        <f>IF(F186&lt;F185,"Yes","NO")</f>
        <v>Yes</v>
      </c>
      <c r="G187" s="218"/>
      <c r="I187" s="218" t="str">
        <f>IF(I186&lt;I185,"Yes","NO")</f>
        <v>Yes</v>
      </c>
      <c r="J187" s="218"/>
    </row>
    <row r="188" spans="1:10" s="26" customFormat="1" ht="22.2" customHeight="1" x14ac:dyDescent="0.3">
      <c r="A188" s="52" t="s">
        <v>252</v>
      </c>
      <c r="B188" s="53"/>
      <c r="C188" s="53"/>
      <c r="D188" s="53"/>
      <c r="E188" s="53"/>
      <c r="F188" s="177"/>
      <c r="G188" s="177"/>
      <c r="I188" s="178"/>
      <c r="J188" s="178"/>
    </row>
    <row r="189" spans="1:10" ht="43.2" customHeight="1" x14ac:dyDescent="0.3">
      <c r="A189" s="94" t="s">
        <v>11</v>
      </c>
      <c r="B189" s="94" t="s">
        <v>12</v>
      </c>
      <c r="C189" s="202" t="s">
        <v>42</v>
      </c>
      <c r="D189" s="202"/>
      <c r="E189" s="74" t="s">
        <v>14</v>
      </c>
      <c r="F189" s="190" t="str">
        <f>F27</f>
        <v>ICCP Sation-1 @KM 00+000
(Launcher)</v>
      </c>
      <c r="G189" s="190"/>
      <c r="I189" s="190" t="str">
        <f>I27</f>
        <v>ICCP Sation-2 @KM 41+488
(At Scraper Receiver)</v>
      </c>
      <c r="J189" s="190"/>
    </row>
    <row r="190" spans="1:10" x14ac:dyDescent="0.3">
      <c r="A190" s="94"/>
      <c r="B190" s="111"/>
      <c r="C190" s="94"/>
      <c r="D190" s="94"/>
      <c r="E190" s="74"/>
      <c r="F190" s="190" t="str">
        <f>F128</f>
        <v>Anodebed-1</v>
      </c>
      <c r="G190" s="190"/>
      <c r="I190" s="190" t="str">
        <f>I128</f>
        <v>Anodebed-1</v>
      </c>
      <c r="J190" s="190"/>
    </row>
    <row r="191" spans="1:10" ht="14.4" customHeight="1" x14ac:dyDescent="0.3">
      <c r="A191" s="58">
        <v>11.1</v>
      </c>
      <c r="B191" s="60" t="s">
        <v>253</v>
      </c>
      <c r="C191" s="60"/>
      <c r="D191" s="58"/>
      <c r="E191" s="99" t="s">
        <v>32</v>
      </c>
      <c r="F191" s="214">
        <f>F32</f>
        <v>25</v>
      </c>
      <c r="G191" s="214"/>
      <c r="I191" s="214">
        <f>I32</f>
        <v>35</v>
      </c>
      <c r="J191" s="214"/>
    </row>
    <row r="192" spans="1:10" ht="14.4" customHeight="1" x14ac:dyDescent="0.3">
      <c r="A192" s="58">
        <v>11.2</v>
      </c>
      <c r="B192" s="60" t="s">
        <v>254</v>
      </c>
      <c r="C192" s="60"/>
      <c r="D192" s="58"/>
      <c r="E192" s="99" t="s">
        <v>255</v>
      </c>
      <c r="F192" s="216">
        <f>F71</f>
        <v>361.01083032490976</v>
      </c>
      <c r="G192" s="216"/>
      <c r="I192" s="216">
        <f>I71</f>
        <v>450.11252813203305</v>
      </c>
      <c r="J192" s="216"/>
    </row>
    <row r="193" spans="1:10" ht="28.8" customHeight="1" x14ac:dyDescent="0.3">
      <c r="A193" s="58">
        <v>11.3</v>
      </c>
      <c r="B193" s="50" t="s">
        <v>256</v>
      </c>
      <c r="C193" s="60"/>
      <c r="D193" s="58"/>
      <c r="E193" s="99" t="s">
        <v>43</v>
      </c>
      <c r="F193" s="214">
        <f t="shared" ref="F193" si="14">IF(F191&lt;=35, IF(F192&lt;500, 20, IF(F192&lt;=1000, 25, IF(F192&lt;=3000, 50, 75))),
 IF(F191&lt;=50, IF(F192&lt;500, 30, IF(F192&lt;=1000, 35, IF(F192&lt;=3000, 75, 150))),
 IF(F191&lt;=100, IF(F192&lt;500, 65, IF(F192&lt;=1000, 75, IF(F192&lt;=3000, 150, 250))),
 IF(F191&lt;=150, IF(F192&lt;500, 100, IF(F192&lt;=1000, 125, IF(F192&lt;=3000, 225, 350))), "Invalid"))))</f>
        <v>20</v>
      </c>
      <c r="G193" s="214"/>
      <c r="I193" s="214">
        <f t="shared" ref="I193" si="15">IF(I191&lt;=35, IF(I192&lt;500, 20, IF(I192&lt;=1000, 25, IF(I192&lt;=3000, 50, 75))),
 IF(I191&lt;=50, IF(I192&lt;500, 30, IF(I192&lt;=1000, 35, IF(I192&lt;=3000, 75, 150))),
 IF(I191&lt;=100, IF(I192&lt;500, 65, IF(I192&lt;=1000, 75, IF(I192&lt;=3000, 150, 250))),
 IF(I191&lt;=150, IF(I192&lt;500, 100, IF(I192&lt;=1000, 125, IF(I192&lt;=3000, 225, 350))), "Invalid"))))</f>
        <v>20</v>
      </c>
      <c r="J193" s="214"/>
    </row>
    <row r="194" spans="1:10" ht="28.8" customHeight="1" x14ac:dyDescent="0.3">
      <c r="A194" s="58">
        <v>11.4</v>
      </c>
      <c r="B194" s="50" t="s">
        <v>257</v>
      </c>
      <c r="C194" s="60"/>
      <c r="D194" s="58"/>
      <c r="E194" s="99" t="s">
        <v>43</v>
      </c>
      <c r="F194" s="214">
        <v>56</v>
      </c>
      <c r="G194" s="214"/>
      <c r="I194" s="214">
        <v>45</v>
      </c>
      <c r="J194" s="214"/>
    </row>
    <row r="195" spans="1:10" ht="46.8" x14ac:dyDescent="0.3">
      <c r="A195" s="58">
        <v>11.5</v>
      </c>
      <c r="B195" s="50" t="s">
        <v>258</v>
      </c>
      <c r="C195" s="60"/>
      <c r="D195" s="58"/>
      <c r="E195" s="99" t="s">
        <v>43</v>
      </c>
      <c r="F195" s="218" t="str">
        <f t="shared" ref="F195" si="16">IF(F193&lt;=F194,"Yes","NO")</f>
        <v>Yes</v>
      </c>
      <c r="G195" s="218"/>
      <c r="I195" s="218" t="str">
        <f t="shared" ref="I195" si="17">IF(I193&lt;=I194,"Yes","NO")</f>
        <v>Yes</v>
      </c>
      <c r="J195" s="218"/>
    </row>
    <row r="196" spans="1:10" s="26" customFormat="1" ht="22.2" customHeight="1" x14ac:dyDescent="0.3">
      <c r="A196" s="52" t="s">
        <v>259</v>
      </c>
      <c r="B196" s="53"/>
      <c r="C196" s="53"/>
      <c r="D196" s="53"/>
      <c r="E196" s="53"/>
      <c r="F196" s="177"/>
      <c r="G196" s="177"/>
      <c r="I196" s="178"/>
      <c r="J196" s="178"/>
    </row>
    <row r="197" spans="1:10" ht="43.2" customHeight="1" x14ac:dyDescent="0.3">
      <c r="A197" s="94" t="s">
        <v>11</v>
      </c>
      <c r="B197" s="94" t="s">
        <v>12</v>
      </c>
      <c r="C197" s="202" t="s">
        <v>42</v>
      </c>
      <c r="D197" s="202"/>
      <c r="E197" s="74" t="s">
        <v>14</v>
      </c>
      <c r="F197" s="190" t="str">
        <f>F27</f>
        <v>ICCP Sation-1 @KM 00+000
(Launcher)</v>
      </c>
      <c r="G197" s="190"/>
      <c r="I197" s="190" t="str">
        <f>I27</f>
        <v>ICCP Sation-2 @KM 41+488
(At Scraper Receiver)</v>
      </c>
      <c r="J197" s="190"/>
    </row>
    <row r="198" spans="1:10" ht="15.6" customHeight="1" x14ac:dyDescent="0.3">
      <c r="A198" s="58">
        <v>12.1</v>
      </c>
      <c r="B198" s="60" t="s">
        <v>260</v>
      </c>
      <c r="C198" s="185" t="s">
        <v>261</v>
      </c>
      <c r="D198" s="185"/>
      <c r="E198" s="99" t="s">
        <v>5</v>
      </c>
      <c r="F198" s="214">
        <v>480</v>
      </c>
      <c r="G198" s="214"/>
      <c r="I198" s="214">
        <v>480</v>
      </c>
      <c r="J198" s="214"/>
    </row>
    <row r="199" spans="1:10" ht="14.4" customHeight="1" x14ac:dyDescent="0.3">
      <c r="A199" s="58">
        <v>12.2</v>
      </c>
      <c r="B199" s="60" t="s">
        <v>262</v>
      </c>
      <c r="C199" s="217"/>
      <c r="D199" s="217"/>
      <c r="E199" s="99" t="s">
        <v>263</v>
      </c>
      <c r="F199" s="214">
        <v>3</v>
      </c>
      <c r="G199" s="214"/>
      <c r="I199" s="214">
        <v>3</v>
      </c>
      <c r="J199" s="214"/>
    </row>
    <row r="200" spans="1:10" ht="15.6" customHeight="1" x14ac:dyDescent="0.3">
      <c r="A200" s="58">
        <v>12.3</v>
      </c>
      <c r="B200" s="60" t="s">
        <v>264</v>
      </c>
      <c r="C200" s="185" t="s">
        <v>265</v>
      </c>
      <c r="D200" s="185"/>
      <c r="E200" s="99"/>
      <c r="F200" s="214">
        <v>80</v>
      </c>
      <c r="G200" s="214"/>
      <c r="I200" s="214">
        <v>80</v>
      </c>
      <c r="J200" s="214"/>
    </row>
    <row r="201" spans="1:10" ht="15.6" customHeight="1" x14ac:dyDescent="0.3">
      <c r="A201" s="58">
        <v>12.4</v>
      </c>
      <c r="B201" s="60" t="s">
        <v>266</v>
      </c>
      <c r="C201" s="185" t="s">
        <v>267</v>
      </c>
      <c r="D201" s="185"/>
      <c r="E201" s="99" t="s">
        <v>66</v>
      </c>
      <c r="F201" s="214">
        <v>0.8</v>
      </c>
      <c r="G201" s="214"/>
      <c r="I201" s="214">
        <v>0.8</v>
      </c>
      <c r="J201" s="214"/>
    </row>
    <row r="202" spans="1:10" ht="15.6" customHeight="1" x14ac:dyDescent="0.3">
      <c r="A202" s="58">
        <v>12.5</v>
      </c>
      <c r="B202" s="60" t="s">
        <v>203</v>
      </c>
      <c r="C202" s="185" t="s">
        <v>246</v>
      </c>
      <c r="D202" s="185"/>
      <c r="E202" s="99" t="s">
        <v>32</v>
      </c>
      <c r="F202" s="214">
        <f>F32</f>
        <v>25</v>
      </c>
      <c r="G202" s="214"/>
      <c r="I202" s="214">
        <f>I32</f>
        <v>35</v>
      </c>
      <c r="J202" s="214"/>
    </row>
    <row r="203" spans="1:10" ht="15.6" customHeight="1" x14ac:dyDescent="0.3">
      <c r="A203" s="58">
        <v>12.6</v>
      </c>
      <c r="B203" s="60" t="s">
        <v>238</v>
      </c>
      <c r="C203" s="185" t="s">
        <v>247</v>
      </c>
      <c r="D203" s="185"/>
      <c r="E203" s="99" t="s">
        <v>207</v>
      </c>
      <c r="F203" s="214">
        <f>F162</f>
        <v>30</v>
      </c>
      <c r="G203" s="214"/>
      <c r="I203" s="214">
        <f>I162</f>
        <v>50</v>
      </c>
      <c r="J203" s="214"/>
    </row>
    <row r="204" spans="1:10" ht="14.4" customHeight="1" x14ac:dyDescent="0.3">
      <c r="A204" s="58">
        <v>12.7</v>
      </c>
      <c r="B204" s="60" t="s">
        <v>268</v>
      </c>
      <c r="C204" s="185" t="s">
        <v>66</v>
      </c>
      <c r="D204" s="185"/>
      <c r="E204" s="99" t="s">
        <v>269</v>
      </c>
      <c r="F204" s="214">
        <f>F202*F203</f>
        <v>750</v>
      </c>
      <c r="G204" s="214"/>
      <c r="I204" s="214">
        <f>I202*I203</f>
        <v>1750</v>
      </c>
      <c r="J204" s="214"/>
    </row>
    <row r="205" spans="1:10" ht="14.4" customHeight="1" x14ac:dyDescent="0.3">
      <c r="A205" s="58">
        <v>12.8</v>
      </c>
      <c r="B205" s="60" t="s">
        <v>270</v>
      </c>
      <c r="C205" s="185" t="s">
        <v>269</v>
      </c>
      <c r="D205" s="185"/>
      <c r="E205" s="99" t="s">
        <v>32</v>
      </c>
      <c r="F205" s="214">
        <f>(F203*F202)/(0.6)/1000</f>
        <v>1.25</v>
      </c>
      <c r="G205" s="214"/>
      <c r="I205" s="214">
        <f>(I203*I202)/(0.6)/1000</f>
        <v>2.916666666666667</v>
      </c>
      <c r="J205" s="214"/>
    </row>
    <row r="206" spans="1:10" ht="31.8" customHeight="1" x14ac:dyDescent="0.3">
      <c r="A206" s="58">
        <v>12.9</v>
      </c>
      <c r="B206" s="50" t="s">
        <v>271</v>
      </c>
      <c r="C206" s="185" t="s">
        <v>272</v>
      </c>
      <c r="D206" s="185"/>
      <c r="E206" s="99" t="s">
        <v>32</v>
      </c>
      <c r="F206" s="214">
        <f>F205*1000/(F198*SQRT(F199))</f>
        <v>1.5035163260146507</v>
      </c>
      <c r="G206" s="214"/>
      <c r="I206" s="214">
        <f>I205*1000/(I198*SQRT(I199))</f>
        <v>3.5082047607008517</v>
      </c>
      <c r="J206" s="214"/>
    </row>
    <row r="207" spans="1:10" s="26" customFormat="1" ht="22.2" customHeight="1" x14ac:dyDescent="0.3">
      <c r="A207" s="52" t="s">
        <v>273</v>
      </c>
      <c r="B207" s="53"/>
      <c r="C207" s="53"/>
      <c r="D207" s="53"/>
      <c r="E207" s="53"/>
      <c r="F207" s="177"/>
      <c r="G207" s="177"/>
      <c r="I207" s="178"/>
      <c r="J207" s="178"/>
    </row>
    <row r="208" spans="1:10" ht="35.4" customHeight="1" x14ac:dyDescent="0.3">
      <c r="A208" s="94" t="s">
        <v>11</v>
      </c>
      <c r="B208" s="94" t="s">
        <v>12</v>
      </c>
      <c r="C208" s="94"/>
      <c r="D208" s="94"/>
      <c r="E208" s="74" t="s">
        <v>14</v>
      </c>
      <c r="F208" s="190" t="str">
        <f>F27</f>
        <v>ICCP Sation-1 @KM 00+000
(Launcher)</v>
      </c>
      <c r="G208" s="190"/>
      <c r="I208" s="190" t="str">
        <f>I27</f>
        <v>ICCP Sation-2 @KM 41+488
(At Scraper Receiver)</v>
      </c>
      <c r="J208" s="190"/>
    </row>
    <row r="209" spans="1:10" ht="16.8" customHeight="1" x14ac:dyDescent="0.3">
      <c r="A209" s="94"/>
      <c r="B209" s="94"/>
      <c r="C209" s="94"/>
      <c r="D209" s="94"/>
      <c r="E209" s="74"/>
      <c r="F209" s="190" t="s">
        <v>101</v>
      </c>
      <c r="G209" s="190"/>
      <c r="I209" s="190" t="s">
        <v>101</v>
      </c>
      <c r="J209" s="190"/>
    </row>
    <row r="210" spans="1:10" x14ac:dyDescent="0.3">
      <c r="A210" s="58">
        <v>13.1</v>
      </c>
      <c r="B210" s="50" t="s">
        <v>274</v>
      </c>
      <c r="C210" s="60"/>
      <c r="D210" s="58"/>
      <c r="E210" s="99" t="s">
        <v>43</v>
      </c>
      <c r="F210" s="214">
        <f>F55</f>
        <v>35</v>
      </c>
      <c r="G210" s="214"/>
      <c r="I210" s="214">
        <f>I55</f>
        <v>3</v>
      </c>
      <c r="J210" s="214"/>
    </row>
    <row r="211" spans="1:10" x14ac:dyDescent="0.3">
      <c r="A211" s="58">
        <v>13.2</v>
      </c>
      <c r="B211" s="50" t="s">
        <v>275</v>
      </c>
      <c r="C211" s="60"/>
      <c r="D211" s="58"/>
      <c r="E211" s="99" t="s">
        <v>43</v>
      </c>
      <c r="F211" s="214">
        <f>F58</f>
        <v>0.25</v>
      </c>
      <c r="G211" s="214"/>
      <c r="I211" s="214">
        <f>I58</f>
        <v>0.25</v>
      </c>
      <c r="J211" s="214"/>
    </row>
    <row r="212" spans="1:10" x14ac:dyDescent="0.3">
      <c r="A212" s="58">
        <v>13.3</v>
      </c>
      <c r="B212" s="60" t="s">
        <v>276</v>
      </c>
      <c r="C212" s="60"/>
      <c r="D212" s="58"/>
      <c r="E212" s="99" t="s">
        <v>57</v>
      </c>
      <c r="F212" s="214">
        <f t="shared" ref="F212" si="18">ROUNDUP((F210*3.28*39.2)/50,0)</f>
        <v>91</v>
      </c>
      <c r="G212" s="214"/>
      <c r="I212" s="214">
        <f>ROUNDUP((I210*I34*3.28*39.2)/50,0)</f>
        <v>93</v>
      </c>
      <c r="J212" s="214"/>
    </row>
    <row r="213" spans="1:10" x14ac:dyDescent="0.3">
      <c r="A213" s="58">
        <v>13.4</v>
      </c>
      <c r="B213" s="60" t="s">
        <v>277</v>
      </c>
      <c r="C213" s="60"/>
      <c r="D213" s="58"/>
      <c r="E213" s="99" t="s">
        <v>57</v>
      </c>
      <c r="F213" s="214">
        <f>ROUNDUP(F212*1.15,0)</f>
        <v>105</v>
      </c>
      <c r="G213" s="214"/>
      <c r="I213" s="214">
        <f>ROUNDUP(I212*1.15,0)</f>
        <v>107</v>
      </c>
      <c r="J213" s="214"/>
    </row>
    <row r="214" spans="1:10" ht="31.2" customHeight="1" x14ac:dyDescent="0.3">
      <c r="A214" s="112" t="s">
        <v>278</v>
      </c>
      <c r="B214" s="219" t="s">
        <v>279</v>
      </c>
      <c r="C214" s="219"/>
      <c r="D214" s="219"/>
      <c r="E214" s="220"/>
      <c r="F214" s="187"/>
      <c r="G214" s="187"/>
      <c r="I214" s="187"/>
      <c r="J214" s="187"/>
    </row>
  </sheetData>
  <mergeCells count="453">
    <mergeCell ref="F213:G213"/>
    <mergeCell ref="I213:J213"/>
    <mergeCell ref="B214:E214"/>
    <mergeCell ref="F214:G214"/>
    <mergeCell ref="I214:J214"/>
    <mergeCell ref="F210:G210"/>
    <mergeCell ref="I210:J210"/>
    <mergeCell ref="F211:G211"/>
    <mergeCell ref="I211:J211"/>
    <mergeCell ref="F212:G212"/>
    <mergeCell ref="I212:J212"/>
    <mergeCell ref="F207:G207"/>
    <mergeCell ref="I207:J207"/>
    <mergeCell ref="F208:G208"/>
    <mergeCell ref="I208:J208"/>
    <mergeCell ref="F209:G209"/>
    <mergeCell ref="I209:J209"/>
    <mergeCell ref="C205:D205"/>
    <mergeCell ref="F205:G205"/>
    <mergeCell ref="I205:J205"/>
    <mergeCell ref="C206:D206"/>
    <mergeCell ref="F206:G206"/>
    <mergeCell ref="I206:J206"/>
    <mergeCell ref="C203:D203"/>
    <mergeCell ref="F203:G203"/>
    <mergeCell ref="I203:J203"/>
    <mergeCell ref="C204:D204"/>
    <mergeCell ref="F204:G204"/>
    <mergeCell ref="I204:J204"/>
    <mergeCell ref="C201:D201"/>
    <mergeCell ref="F201:G201"/>
    <mergeCell ref="I201:J201"/>
    <mergeCell ref="C202:D202"/>
    <mergeCell ref="F202:G202"/>
    <mergeCell ref="I202:J202"/>
    <mergeCell ref="C199:D199"/>
    <mergeCell ref="F199:G199"/>
    <mergeCell ref="I199:J199"/>
    <mergeCell ref="C200:D200"/>
    <mergeCell ref="F200:G200"/>
    <mergeCell ref="I200:J200"/>
    <mergeCell ref="F196:G196"/>
    <mergeCell ref="I196:J196"/>
    <mergeCell ref="C197:D197"/>
    <mergeCell ref="F197:G197"/>
    <mergeCell ref="I197:J197"/>
    <mergeCell ref="C198:D198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C187:D187"/>
    <mergeCell ref="F187:G187"/>
    <mergeCell ref="I187:J187"/>
    <mergeCell ref="F188:G188"/>
    <mergeCell ref="I188:J188"/>
    <mergeCell ref="C189:D189"/>
    <mergeCell ref="F189:G189"/>
    <mergeCell ref="I189:J189"/>
    <mergeCell ref="C185:D185"/>
    <mergeCell ref="F185:G185"/>
    <mergeCell ref="I185:J185"/>
    <mergeCell ref="C186:D186"/>
    <mergeCell ref="F186:G186"/>
    <mergeCell ref="I186:J186"/>
    <mergeCell ref="C183:D183"/>
    <mergeCell ref="F183:G183"/>
    <mergeCell ref="I183:J183"/>
    <mergeCell ref="C184:D184"/>
    <mergeCell ref="F184:G184"/>
    <mergeCell ref="I184:J184"/>
    <mergeCell ref="C180:D180"/>
    <mergeCell ref="F180:G180"/>
    <mergeCell ref="I180:J180"/>
    <mergeCell ref="F181:G181"/>
    <mergeCell ref="I181:J181"/>
    <mergeCell ref="C182:D182"/>
    <mergeCell ref="F182:G182"/>
    <mergeCell ref="I182:J182"/>
    <mergeCell ref="C178:D178"/>
    <mergeCell ref="F178:G178"/>
    <mergeCell ref="I178:J178"/>
    <mergeCell ref="C179:D179"/>
    <mergeCell ref="F179:G179"/>
    <mergeCell ref="I179:J179"/>
    <mergeCell ref="C176:D176"/>
    <mergeCell ref="F176:G176"/>
    <mergeCell ref="I176:J176"/>
    <mergeCell ref="C177:D177"/>
    <mergeCell ref="F177:G177"/>
    <mergeCell ref="I177:J177"/>
    <mergeCell ref="C173:D173"/>
    <mergeCell ref="F173:G173"/>
    <mergeCell ref="I173:J173"/>
    <mergeCell ref="F174:G174"/>
    <mergeCell ref="I174:J174"/>
    <mergeCell ref="C175:D175"/>
    <mergeCell ref="F175:G175"/>
    <mergeCell ref="I175:J175"/>
    <mergeCell ref="C171:D171"/>
    <mergeCell ref="F171:G171"/>
    <mergeCell ref="I171:J171"/>
    <mergeCell ref="C172:D172"/>
    <mergeCell ref="F172:G172"/>
    <mergeCell ref="I172:J172"/>
    <mergeCell ref="C169:D169"/>
    <mergeCell ref="F169:G169"/>
    <mergeCell ref="I169:J169"/>
    <mergeCell ref="C170:D170"/>
    <mergeCell ref="F170:G170"/>
    <mergeCell ref="I170:J170"/>
    <mergeCell ref="C167:D167"/>
    <mergeCell ref="F167:G167"/>
    <mergeCell ref="I167:J167"/>
    <mergeCell ref="C168:D168"/>
    <mergeCell ref="F168:G168"/>
    <mergeCell ref="I168:J168"/>
    <mergeCell ref="C165:D165"/>
    <mergeCell ref="F165:G165"/>
    <mergeCell ref="I165:J165"/>
    <mergeCell ref="C166:D166"/>
    <mergeCell ref="F166:G166"/>
    <mergeCell ref="I166:J166"/>
    <mergeCell ref="F162:G162"/>
    <mergeCell ref="I162:J162"/>
    <mergeCell ref="F163:G163"/>
    <mergeCell ref="I163:J163"/>
    <mergeCell ref="F164:G164"/>
    <mergeCell ref="I164:J164"/>
    <mergeCell ref="F159:G159"/>
    <mergeCell ref="I159:J159"/>
    <mergeCell ref="F160:G160"/>
    <mergeCell ref="I160:J160"/>
    <mergeCell ref="F161:G161"/>
    <mergeCell ref="I161:J161"/>
    <mergeCell ref="F156:G156"/>
    <mergeCell ref="I156:J156"/>
    <mergeCell ref="F157:G157"/>
    <mergeCell ref="I157:J157"/>
    <mergeCell ref="F158:G158"/>
    <mergeCell ref="I158:J158"/>
    <mergeCell ref="F153:G153"/>
    <mergeCell ref="I153:J153"/>
    <mergeCell ref="F154:G154"/>
    <mergeCell ref="I154:J154"/>
    <mergeCell ref="F155:G155"/>
    <mergeCell ref="I155:J155"/>
    <mergeCell ref="F150:G150"/>
    <mergeCell ref="I150:J150"/>
    <mergeCell ref="F151:G151"/>
    <mergeCell ref="I151:J151"/>
    <mergeCell ref="F152:G152"/>
    <mergeCell ref="I152:J152"/>
    <mergeCell ref="F147:G147"/>
    <mergeCell ref="I147:J147"/>
    <mergeCell ref="F148:G148"/>
    <mergeCell ref="I148:J148"/>
    <mergeCell ref="F149:G149"/>
    <mergeCell ref="I149:J149"/>
    <mergeCell ref="F144:G144"/>
    <mergeCell ref="I144:J144"/>
    <mergeCell ref="F145:G145"/>
    <mergeCell ref="I145:J145"/>
    <mergeCell ref="F146:G146"/>
    <mergeCell ref="I146:J146"/>
    <mergeCell ref="F141:G141"/>
    <mergeCell ref="I141:J141"/>
    <mergeCell ref="F142:G142"/>
    <mergeCell ref="I142:J142"/>
    <mergeCell ref="F143:G143"/>
    <mergeCell ref="I143:J143"/>
    <mergeCell ref="F138:G138"/>
    <mergeCell ref="I138:J138"/>
    <mergeCell ref="F139:G139"/>
    <mergeCell ref="I139:J139"/>
    <mergeCell ref="F140:G140"/>
    <mergeCell ref="I140:J140"/>
    <mergeCell ref="F135:G135"/>
    <mergeCell ref="I135:J135"/>
    <mergeCell ref="F136:G136"/>
    <mergeCell ref="I136:J136"/>
    <mergeCell ref="F137:G137"/>
    <mergeCell ref="I137:J137"/>
    <mergeCell ref="F132:G132"/>
    <mergeCell ref="I132:J132"/>
    <mergeCell ref="F133:G133"/>
    <mergeCell ref="I133:J133"/>
    <mergeCell ref="F134:G134"/>
    <mergeCell ref="I134:J134"/>
    <mergeCell ref="F129:G129"/>
    <mergeCell ref="I129:J129"/>
    <mergeCell ref="F130:G130"/>
    <mergeCell ref="I130:J130"/>
    <mergeCell ref="F131:G131"/>
    <mergeCell ref="I131:J131"/>
    <mergeCell ref="F126:G126"/>
    <mergeCell ref="I126:J126"/>
    <mergeCell ref="F127:G127"/>
    <mergeCell ref="I127:J127"/>
    <mergeCell ref="F128:G128"/>
    <mergeCell ref="I128:J128"/>
    <mergeCell ref="F123:G123"/>
    <mergeCell ref="I123:J123"/>
    <mergeCell ref="F124:G124"/>
    <mergeCell ref="I124:J124"/>
    <mergeCell ref="F125:G125"/>
    <mergeCell ref="I125:J125"/>
    <mergeCell ref="F120:G120"/>
    <mergeCell ref="I120:J120"/>
    <mergeCell ref="F121:G121"/>
    <mergeCell ref="I121:J121"/>
    <mergeCell ref="F122:G122"/>
    <mergeCell ref="I122:J122"/>
    <mergeCell ref="F117:G117"/>
    <mergeCell ref="I117:J117"/>
    <mergeCell ref="F118:G118"/>
    <mergeCell ref="I118:J118"/>
    <mergeCell ref="F119:G119"/>
    <mergeCell ref="I119:J119"/>
    <mergeCell ref="F114:G114"/>
    <mergeCell ref="I114:J114"/>
    <mergeCell ref="F115:G115"/>
    <mergeCell ref="I115:J115"/>
    <mergeCell ref="F116:G116"/>
    <mergeCell ref="I116:J116"/>
    <mergeCell ref="F111:G111"/>
    <mergeCell ref="I111:J111"/>
    <mergeCell ref="F112:G112"/>
    <mergeCell ref="I112:J112"/>
    <mergeCell ref="F113:G113"/>
    <mergeCell ref="I113:J113"/>
    <mergeCell ref="F108:G108"/>
    <mergeCell ref="I108:J108"/>
    <mergeCell ref="F109:G109"/>
    <mergeCell ref="I109:J109"/>
    <mergeCell ref="F110:G110"/>
    <mergeCell ref="I110:J110"/>
    <mergeCell ref="F105:G105"/>
    <mergeCell ref="I105:J105"/>
    <mergeCell ref="F106:G106"/>
    <mergeCell ref="I106:J106"/>
    <mergeCell ref="F107:G107"/>
    <mergeCell ref="I107:J107"/>
    <mergeCell ref="F102:G102"/>
    <mergeCell ref="I102:J102"/>
    <mergeCell ref="F103:G103"/>
    <mergeCell ref="I103:J103"/>
    <mergeCell ref="F104:G104"/>
    <mergeCell ref="I104:J104"/>
    <mergeCell ref="F99:G99"/>
    <mergeCell ref="I99:J99"/>
    <mergeCell ref="F100:G100"/>
    <mergeCell ref="I100:J100"/>
    <mergeCell ref="F101:G101"/>
    <mergeCell ref="I101:J101"/>
    <mergeCell ref="F96:G96"/>
    <mergeCell ref="I96:J96"/>
    <mergeCell ref="F97:G97"/>
    <mergeCell ref="I97:J97"/>
    <mergeCell ref="F98:G98"/>
    <mergeCell ref="I98:J98"/>
    <mergeCell ref="F93:G93"/>
    <mergeCell ref="I93:J93"/>
    <mergeCell ref="F94:G94"/>
    <mergeCell ref="I94:J94"/>
    <mergeCell ref="F95:G95"/>
    <mergeCell ref="I95:J95"/>
    <mergeCell ref="F90:G90"/>
    <mergeCell ref="I90:J90"/>
    <mergeCell ref="F91:G91"/>
    <mergeCell ref="I91:J91"/>
    <mergeCell ref="F92:G92"/>
    <mergeCell ref="I92:J92"/>
    <mergeCell ref="F87:G87"/>
    <mergeCell ref="I87:J87"/>
    <mergeCell ref="F88:G88"/>
    <mergeCell ref="I88:J88"/>
    <mergeCell ref="F89:G89"/>
    <mergeCell ref="I89:J89"/>
    <mergeCell ref="F84:G84"/>
    <mergeCell ref="I84:J84"/>
    <mergeCell ref="F85:G85"/>
    <mergeCell ref="I85:J85"/>
    <mergeCell ref="F86:G86"/>
    <mergeCell ref="I86:J86"/>
    <mergeCell ref="F81:G81"/>
    <mergeCell ref="I81:J81"/>
    <mergeCell ref="F82:G82"/>
    <mergeCell ref="I82:J82"/>
    <mergeCell ref="F83:G83"/>
    <mergeCell ref="I83:J83"/>
    <mergeCell ref="F78:G78"/>
    <mergeCell ref="I78:J78"/>
    <mergeCell ref="F79:G79"/>
    <mergeCell ref="I79:J79"/>
    <mergeCell ref="F80:G80"/>
    <mergeCell ref="I80:J80"/>
    <mergeCell ref="C75:D75"/>
    <mergeCell ref="F75:G75"/>
    <mergeCell ref="I75:J75"/>
    <mergeCell ref="F76:G76"/>
    <mergeCell ref="I76:J76"/>
    <mergeCell ref="F77:G77"/>
    <mergeCell ref="I77:J77"/>
    <mergeCell ref="C73:D73"/>
    <mergeCell ref="F73:G73"/>
    <mergeCell ref="I73:J73"/>
    <mergeCell ref="C74:D74"/>
    <mergeCell ref="F74:G74"/>
    <mergeCell ref="I74:J74"/>
    <mergeCell ref="C71:D71"/>
    <mergeCell ref="F71:G71"/>
    <mergeCell ref="I71:J71"/>
    <mergeCell ref="C72:D72"/>
    <mergeCell ref="F72:G72"/>
    <mergeCell ref="I72:J72"/>
    <mergeCell ref="C69:D69"/>
    <mergeCell ref="F69:G69"/>
    <mergeCell ref="I69:J69"/>
    <mergeCell ref="C70:D70"/>
    <mergeCell ref="F70:G70"/>
    <mergeCell ref="I70:J70"/>
    <mergeCell ref="C67:D67"/>
    <mergeCell ref="F67:G67"/>
    <mergeCell ref="I67:J67"/>
    <mergeCell ref="C68:D68"/>
    <mergeCell ref="F68:G68"/>
    <mergeCell ref="I68:J68"/>
    <mergeCell ref="F64:G64"/>
    <mergeCell ref="I64:J64"/>
    <mergeCell ref="C65:D65"/>
    <mergeCell ref="F65:G65"/>
    <mergeCell ref="I65:J65"/>
    <mergeCell ref="C66:D66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C43:D43"/>
    <mergeCell ref="F43:G43"/>
    <mergeCell ref="I43:J43"/>
    <mergeCell ref="F44:G44"/>
    <mergeCell ref="I44:J44"/>
    <mergeCell ref="F45:G45"/>
    <mergeCell ref="I45:J45"/>
    <mergeCell ref="C41:D41"/>
    <mergeCell ref="F41:G41"/>
    <mergeCell ref="I41:J41"/>
    <mergeCell ref="C42:D42"/>
    <mergeCell ref="F42:G42"/>
    <mergeCell ref="I42:J42"/>
    <mergeCell ref="C39:D39"/>
    <mergeCell ref="F39:G39"/>
    <mergeCell ref="I39:J39"/>
    <mergeCell ref="C40:D40"/>
    <mergeCell ref="F40:G40"/>
    <mergeCell ref="I40:J40"/>
    <mergeCell ref="C37:D37"/>
    <mergeCell ref="F37:G37"/>
    <mergeCell ref="I37:J37"/>
    <mergeCell ref="C38:D38"/>
    <mergeCell ref="F38:G38"/>
    <mergeCell ref="I38:J38"/>
    <mergeCell ref="F34:G34"/>
    <mergeCell ref="I34:J34"/>
    <mergeCell ref="F35:G35"/>
    <mergeCell ref="I35:J35"/>
    <mergeCell ref="F36:G36"/>
    <mergeCell ref="I36:J36"/>
    <mergeCell ref="C32:D32"/>
    <mergeCell ref="F32:G32"/>
    <mergeCell ref="I32:J32"/>
    <mergeCell ref="C33:D33"/>
    <mergeCell ref="F33:G33"/>
    <mergeCell ref="I33:J33"/>
    <mergeCell ref="C30:D30"/>
    <mergeCell ref="F30:G30"/>
    <mergeCell ref="I30:J30"/>
    <mergeCell ref="C31:D31"/>
    <mergeCell ref="F31:G31"/>
    <mergeCell ref="I31:J31"/>
    <mergeCell ref="C28:D28"/>
    <mergeCell ref="F28:G28"/>
    <mergeCell ref="I28:J28"/>
    <mergeCell ref="C29:D29"/>
    <mergeCell ref="F29:G29"/>
    <mergeCell ref="I29:J29"/>
    <mergeCell ref="F26:G26"/>
    <mergeCell ref="I26:J26"/>
    <mergeCell ref="C27:D27"/>
    <mergeCell ref="F27:G27"/>
    <mergeCell ref="I27:J27"/>
    <mergeCell ref="C20:D20"/>
    <mergeCell ref="C21:D21"/>
    <mergeCell ref="C22:D22"/>
    <mergeCell ref="C23:D23"/>
    <mergeCell ref="C24:D24"/>
    <mergeCell ref="C14:D14"/>
    <mergeCell ref="C15:D15"/>
    <mergeCell ref="C16:D16"/>
    <mergeCell ref="C17:D17"/>
    <mergeCell ref="C18:D18"/>
    <mergeCell ref="C19:D19"/>
    <mergeCell ref="A6:A7"/>
    <mergeCell ref="C9:D9"/>
    <mergeCell ref="C10:D10"/>
    <mergeCell ref="C11:D11"/>
    <mergeCell ref="C12:D12"/>
    <mergeCell ref="C13:D13"/>
  </mergeCells>
  <conditionalFormatting sqref="F173">
    <cfRule type="containsText" dxfId="7" priority="8" operator="containsText" text="NO">
      <formula>NOT(ISERROR(SEARCH("NO",F173)))</formula>
    </cfRule>
  </conditionalFormatting>
  <conditionalFormatting sqref="F180">
    <cfRule type="containsText" dxfId="6" priority="7" operator="containsText" text="NO">
      <formula>NOT(ISERROR(SEARCH("NO",F180)))</formula>
    </cfRule>
  </conditionalFormatting>
  <conditionalFormatting sqref="F187">
    <cfRule type="containsText" dxfId="5" priority="6" operator="containsText" text="NO">
      <formula>NOT(ISERROR(SEARCH("NO",F187)))</formula>
    </cfRule>
  </conditionalFormatting>
  <conditionalFormatting sqref="F195">
    <cfRule type="containsText" dxfId="4" priority="5" operator="containsText" text="NO">
      <formula>NOT(ISERROR(SEARCH("NO",F195)))</formula>
    </cfRule>
  </conditionalFormatting>
  <conditionalFormatting sqref="I173">
    <cfRule type="containsText" dxfId="3" priority="4" operator="containsText" text="NO">
      <formula>NOT(ISERROR(SEARCH("NO",I173)))</formula>
    </cfRule>
  </conditionalFormatting>
  <conditionalFormatting sqref="I180">
    <cfRule type="containsText" dxfId="2" priority="3" operator="containsText" text="NO">
      <formula>NOT(ISERROR(SEARCH("NO",I180)))</formula>
    </cfRule>
  </conditionalFormatting>
  <conditionalFormatting sqref="I187">
    <cfRule type="containsText" dxfId="1" priority="2" operator="containsText" text="NO">
      <formula>NOT(ISERROR(SEARCH("NO",I187)))</formula>
    </cfRule>
  </conditionalFormatting>
  <conditionalFormatting sqref="I195">
    <cfRule type="containsText" dxfId="0" priority="1" operator="containsText" text="NO">
      <formula>NOT(ISERROR(SEARCH("NO",I195)))</formula>
    </cfRule>
  </conditionalFormatting>
  <pageMargins left="0.7" right="0.7" top="0.75" bottom="0.5" header="0.3" footer="0.3"/>
  <pageSetup paperSize="9" scale="45" fitToHeight="0" orientation="portrait" r:id="rId1"/>
  <headerFooter>
    <oddHeader>&amp;C&amp;16&amp;G</oddHeader>
    <oddFooter>&amp;C&amp;A&amp;R&amp;P</oddFooter>
  </headerFooter>
  <rowBreaks count="1" manualBreakCount="1">
    <brk id="75" max="9" man="1"/>
  </rowBreaks>
  <drawing r:id="rId2"/>
  <legacyDrawing r:id="rId3"/>
  <legacyDrawingHF r:id="rId4"/>
  <oleObjects>
    <mc:AlternateContent xmlns:mc="http://schemas.openxmlformats.org/markup-compatibility/2006">
      <mc:Choice Requires="x14">
        <oleObject progId="Equation.3" shapeId="1025" r:id="rId5">
          <objectPr defaultSize="0" autoPict="0" r:id="rId6">
            <anchor moveWithCells="1" sizeWithCells="1">
              <from>
                <xdr:col>5</xdr:col>
                <xdr:colOff>373380</xdr:colOff>
                <xdr:row>62</xdr:row>
                <xdr:rowOff>175260</xdr:rowOff>
              </from>
              <to>
                <xdr:col>6</xdr:col>
                <xdr:colOff>1303020</xdr:colOff>
                <xdr:row>63</xdr:row>
                <xdr:rowOff>449580</xdr:rowOff>
              </to>
            </anchor>
          </objectPr>
        </oleObject>
      </mc:Choice>
      <mc:Fallback>
        <oleObject progId="Equation.3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4C9A-3A1A-451C-AF7D-DEC3CA268E8D}">
  <sheetPr>
    <tabColor rgb="FF92D050"/>
    <pageSetUpPr fitToPage="1"/>
  </sheetPr>
  <dimension ref="A1:I64"/>
  <sheetViews>
    <sheetView zoomScale="70" zoomScaleNormal="70" zoomScaleSheetLayoutView="40" zoomScalePageLayoutView="40" workbookViewId="0">
      <selection activeCell="F235" sqref="F235:G235"/>
    </sheetView>
  </sheetViews>
  <sheetFormatPr defaultColWidth="14.44140625" defaultRowHeight="14.4" x14ac:dyDescent="0.3"/>
  <cols>
    <col min="1" max="1" width="11.21875" style="114" customWidth="1"/>
    <col min="2" max="2" width="12.5546875" style="114" hidden="1" customWidth="1"/>
    <col min="3" max="3" width="72.77734375" style="115" customWidth="1"/>
    <col min="4" max="4" width="13.44140625" style="114" bestFit="1" customWidth="1"/>
    <col min="5" max="5" width="8.6640625" style="114" bestFit="1" customWidth="1"/>
    <col min="6" max="6" width="7.109375" style="114" bestFit="1" customWidth="1"/>
    <col min="7" max="7" width="22.88671875" style="114" bestFit="1" customWidth="1"/>
    <col min="8" max="8" width="22.88671875" style="114" customWidth="1"/>
    <col min="9" max="9" width="15.33203125" style="118" customWidth="1"/>
    <col min="10" max="16384" width="14.44140625" style="114"/>
  </cols>
  <sheetData>
    <row r="1" spans="1:9" x14ac:dyDescent="0.3">
      <c r="E1" s="116" t="s">
        <v>207</v>
      </c>
      <c r="F1" s="116"/>
      <c r="G1" s="117">
        <f>'Cal.(DW)'!F167</f>
        <v>30</v>
      </c>
      <c r="H1" s="117"/>
    </row>
    <row r="2" spans="1:9" x14ac:dyDescent="0.3">
      <c r="E2" s="116" t="s">
        <v>32</v>
      </c>
      <c r="F2" s="116"/>
      <c r="G2" s="117">
        <f>'Cal.(DW)'!F168</f>
        <v>25</v>
      </c>
      <c r="H2" s="117"/>
    </row>
    <row r="3" spans="1:9" x14ac:dyDescent="0.3">
      <c r="C3" s="114"/>
      <c r="E3" s="116" t="s">
        <v>280</v>
      </c>
      <c r="F3" s="118"/>
      <c r="G3" s="117" t="s">
        <v>281</v>
      </c>
      <c r="H3" s="117"/>
    </row>
    <row r="4" spans="1:9" x14ac:dyDescent="0.3">
      <c r="C4" s="114"/>
      <c r="E4" s="116" t="s">
        <v>282</v>
      </c>
      <c r="F4" s="118"/>
      <c r="G4" s="117">
        <v>1</v>
      </c>
      <c r="H4" s="117"/>
    </row>
    <row r="5" spans="1:9" x14ac:dyDescent="0.3">
      <c r="C5" s="114"/>
      <c r="E5" s="116" t="s">
        <v>283</v>
      </c>
      <c r="F5" s="118"/>
      <c r="G5" s="117" cm="1">
        <f t="array" ref="G5:H5">'Cal.(DW)'!F34:G34</f>
        <v>9</v>
      </c>
      <c r="H5" s="117">
        <v>0</v>
      </c>
    </row>
    <row r="6" spans="1:9" x14ac:dyDescent="0.3">
      <c r="C6" s="114"/>
      <c r="E6" s="116" t="s">
        <v>284</v>
      </c>
      <c r="F6" s="118"/>
      <c r="G6" s="117">
        <f>'Cal.(DW)'!F48</f>
        <v>15</v>
      </c>
      <c r="H6" s="117"/>
    </row>
    <row r="7" spans="1:9" x14ac:dyDescent="0.3">
      <c r="C7" s="114"/>
      <c r="E7" s="116" t="s">
        <v>285</v>
      </c>
      <c r="F7" s="118"/>
      <c r="G7" s="117">
        <f>'Cal.(DW)'!F55</f>
        <v>35</v>
      </c>
      <c r="H7" s="117"/>
    </row>
    <row r="8" spans="1:9" x14ac:dyDescent="0.3">
      <c r="A8" s="224" t="s">
        <v>286</v>
      </c>
      <c r="B8" s="225"/>
      <c r="C8" s="226"/>
      <c r="D8" s="226"/>
      <c r="E8" s="227"/>
      <c r="F8" s="119"/>
      <c r="G8" s="120">
        <v>1</v>
      </c>
      <c r="H8" s="120"/>
      <c r="I8" s="121"/>
    </row>
    <row r="9" spans="1:9" ht="41.4" x14ac:dyDescent="0.3">
      <c r="A9" s="122" t="s">
        <v>287</v>
      </c>
      <c r="B9" s="122" t="s">
        <v>287</v>
      </c>
      <c r="C9" s="123" t="s">
        <v>288</v>
      </c>
      <c r="D9" s="123" t="s">
        <v>289</v>
      </c>
      <c r="E9" s="122" t="s">
        <v>290</v>
      </c>
      <c r="F9" s="124" t="s">
        <v>291</v>
      </c>
      <c r="G9" s="123" t="str">
        <f>'Cal.(DW)'!F27</f>
        <v>ICCP Sation-1 @KM 00+000
(Launcher)</v>
      </c>
      <c r="H9" s="123"/>
      <c r="I9" s="121" t="s">
        <v>75</v>
      </c>
    </row>
    <row r="10" spans="1:9" ht="14.4" customHeight="1" x14ac:dyDescent="0.3">
      <c r="A10" s="222" t="s">
        <v>292</v>
      </c>
      <c r="B10" s="222"/>
      <c r="C10" s="223"/>
      <c r="D10" s="222"/>
      <c r="E10" s="222"/>
      <c r="F10" s="124"/>
      <c r="G10" s="123"/>
      <c r="H10" s="123"/>
      <c r="I10" s="121" t="s">
        <v>75</v>
      </c>
    </row>
    <row r="11" spans="1:9" ht="55.2" x14ac:dyDescent="0.3">
      <c r="A11" s="228">
        <v>1</v>
      </c>
      <c r="B11" s="125">
        <v>1</v>
      </c>
      <c r="C11" s="126" t="s">
        <v>293</v>
      </c>
      <c r="D11" s="127" t="s">
        <v>294</v>
      </c>
      <c r="E11" s="127" t="s">
        <v>57</v>
      </c>
      <c r="F11" s="128">
        <f t="shared" ref="F11:F19" si="0">SUM(G11:G11)</f>
        <v>0</v>
      </c>
      <c r="G11" s="129">
        <v>0</v>
      </c>
      <c r="H11" s="129"/>
      <c r="I11" s="130" t="str">
        <f t="shared" ref="I11:I16" si="1">IF(ISNUMBER(G11) * (G11 &gt; 0), "Yes", "No")</f>
        <v>No</v>
      </c>
    </row>
    <row r="12" spans="1:9" ht="55.2" x14ac:dyDescent="0.3">
      <c r="A12" s="228"/>
      <c r="B12" s="125"/>
      <c r="C12" s="126" t="s">
        <v>295</v>
      </c>
      <c r="D12" s="127" t="s">
        <v>296</v>
      </c>
      <c r="E12" s="127" t="s">
        <v>57</v>
      </c>
      <c r="F12" s="128">
        <f t="shared" si="0"/>
        <v>1</v>
      </c>
      <c r="G12" s="129">
        <v>1</v>
      </c>
      <c r="H12" s="129"/>
      <c r="I12" s="130" t="str">
        <f t="shared" si="1"/>
        <v>Yes</v>
      </c>
    </row>
    <row r="13" spans="1:9" ht="55.2" x14ac:dyDescent="0.3">
      <c r="A13" s="228"/>
      <c r="B13" s="125"/>
      <c r="C13" s="126" t="s">
        <v>297</v>
      </c>
      <c r="D13" s="127" t="s">
        <v>294</v>
      </c>
      <c r="E13" s="127" t="s">
        <v>57</v>
      </c>
      <c r="F13" s="128">
        <f t="shared" si="0"/>
        <v>0</v>
      </c>
      <c r="G13" s="129">
        <v>0</v>
      </c>
      <c r="H13" s="129"/>
      <c r="I13" s="130" t="str">
        <f t="shared" si="1"/>
        <v>No</v>
      </c>
    </row>
    <row r="14" spans="1:9" ht="55.2" x14ac:dyDescent="0.3">
      <c r="A14" s="228"/>
      <c r="B14" s="125"/>
      <c r="C14" s="126" t="s">
        <v>298</v>
      </c>
      <c r="D14" s="127" t="s">
        <v>294</v>
      </c>
      <c r="E14" s="127" t="s">
        <v>57</v>
      </c>
      <c r="F14" s="128">
        <f t="shared" si="0"/>
        <v>0</v>
      </c>
      <c r="G14" s="129">
        <v>0</v>
      </c>
      <c r="H14" s="129"/>
      <c r="I14" s="130" t="str">
        <f t="shared" si="1"/>
        <v>No</v>
      </c>
    </row>
    <row r="15" spans="1:9" ht="55.2" x14ac:dyDescent="0.3">
      <c r="A15" s="228"/>
      <c r="B15" s="125"/>
      <c r="C15" s="126" t="s">
        <v>299</v>
      </c>
      <c r="D15" s="127" t="s">
        <v>294</v>
      </c>
      <c r="E15" s="127" t="s">
        <v>57</v>
      </c>
      <c r="F15" s="128">
        <f t="shared" si="0"/>
        <v>0</v>
      </c>
      <c r="G15" s="129">
        <v>0</v>
      </c>
      <c r="H15" s="129"/>
      <c r="I15" s="130" t="str">
        <f t="shared" si="1"/>
        <v>No</v>
      </c>
    </row>
    <row r="16" spans="1:9" ht="55.2" x14ac:dyDescent="0.3">
      <c r="A16" s="228"/>
      <c r="B16" s="125"/>
      <c r="C16" s="126" t="s">
        <v>300</v>
      </c>
      <c r="D16" s="127" t="s">
        <v>294</v>
      </c>
      <c r="E16" s="127" t="s">
        <v>57</v>
      </c>
      <c r="F16" s="128">
        <f t="shared" si="0"/>
        <v>0</v>
      </c>
      <c r="G16" s="129">
        <v>0</v>
      </c>
      <c r="H16" s="129"/>
      <c r="I16" s="130" t="str">
        <f t="shared" si="1"/>
        <v>No</v>
      </c>
    </row>
    <row r="17" spans="1:9" x14ac:dyDescent="0.3">
      <c r="A17" s="125">
        <v>2</v>
      </c>
      <c r="B17" s="125"/>
      <c r="C17" s="126" t="s">
        <v>301</v>
      </c>
      <c r="D17" s="127"/>
      <c r="E17" s="127"/>
      <c r="F17" s="128">
        <f t="shared" si="0"/>
        <v>1</v>
      </c>
      <c r="G17" s="129">
        <f>SUM(G11:G16)</f>
        <v>1</v>
      </c>
      <c r="H17" s="129"/>
      <c r="I17" s="130"/>
    </row>
    <row r="18" spans="1:9" x14ac:dyDescent="0.3">
      <c r="A18" s="125">
        <v>3</v>
      </c>
      <c r="B18" s="125">
        <v>2</v>
      </c>
      <c r="C18" s="126" t="s">
        <v>302</v>
      </c>
      <c r="D18" s="127" t="s">
        <v>5</v>
      </c>
      <c r="E18" s="127" t="s">
        <v>303</v>
      </c>
      <c r="F18" s="128">
        <f t="shared" si="0"/>
        <v>2</v>
      </c>
      <c r="G18" s="129">
        <f>SUM(G11:G16)*2</f>
        <v>2</v>
      </c>
      <c r="H18" s="129"/>
      <c r="I18" s="130" t="str">
        <f>IF(ISNUMBER(G18) * (G18 &gt; 0), "Yes", "No")</f>
        <v>Yes</v>
      </c>
    </row>
    <row r="19" spans="1:9" x14ac:dyDescent="0.3">
      <c r="A19" s="125">
        <v>4</v>
      </c>
      <c r="B19" s="125">
        <v>3</v>
      </c>
      <c r="C19" s="126" t="s">
        <v>304</v>
      </c>
      <c r="D19" s="127" t="s">
        <v>5</v>
      </c>
      <c r="E19" s="127" t="s">
        <v>305</v>
      </c>
      <c r="F19" s="128">
        <f t="shared" si="0"/>
        <v>1</v>
      </c>
      <c r="G19" s="129">
        <f>SUM(G11:G16)</f>
        <v>1</v>
      </c>
      <c r="H19" s="129"/>
      <c r="I19" s="130" t="str">
        <f>IF(ISNUMBER(G19) * (G19 &gt; 0), "Yes", "No")</f>
        <v>Yes</v>
      </c>
    </row>
    <row r="20" spans="1:9" ht="21" customHeight="1" x14ac:dyDescent="0.3">
      <c r="A20" s="222" t="s">
        <v>306</v>
      </c>
      <c r="B20" s="222"/>
      <c r="C20" s="223"/>
      <c r="D20" s="222"/>
      <c r="E20" s="131"/>
      <c r="F20" s="128"/>
      <c r="G20" s="129"/>
      <c r="H20" s="129"/>
      <c r="I20" s="130" t="s">
        <v>75</v>
      </c>
    </row>
    <row r="21" spans="1:9" ht="20.399999999999999" customHeight="1" x14ac:dyDescent="0.3">
      <c r="A21" s="229">
        <v>5</v>
      </c>
      <c r="B21" s="221">
        <v>4</v>
      </c>
      <c r="C21" s="126" t="str">
        <f>"Anode-1, HSCI, Tubular, TA-4 c/w -" &amp; 'Cal.(DW)'!F79 &amp; " M 16mm² PVDF/HMWPE Cable"</f>
        <v>Anode-1, HSCI, Tubular, TA-4 c/w -25 M 16mm² PVDF/HMWPE Cable</v>
      </c>
      <c r="D21" s="127" t="s">
        <v>307</v>
      </c>
      <c r="E21" s="127" t="s">
        <v>57</v>
      </c>
      <c r="F21" s="128">
        <f t="shared" ref="F21:F34" si="2">SUM(G21:G21)</f>
        <v>1</v>
      </c>
      <c r="G21" s="129">
        <v>1</v>
      </c>
      <c r="H21" s="129"/>
      <c r="I21" s="130" t="str">
        <f t="shared" ref="I21:I34" si="3">IF(ISNUMBER(G21) * (G21 &gt; 0), "Yes", "No")</f>
        <v>Yes</v>
      </c>
    </row>
    <row r="22" spans="1:9" ht="20.399999999999999" customHeight="1" x14ac:dyDescent="0.3">
      <c r="A22" s="230"/>
      <c r="B22" s="221"/>
      <c r="C22" s="126" t="str">
        <f>"Anode-1, HSCI, Tubular, TA-4 c/w -" &amp; 'Cal.(DW)'!F80 &amp; " M 16mm² PVDF/HMWPE Cable"</f>
        <v>Anode-1, HSCI, Tubular, TA-4 c/w -30 M 16mm² PVDF/HMWPE Cable</v>
      </c>
      <c r="D22" s="127" t="s">
        <v>307</v>
      </c>
      <c r="E22" s="127" t="s">
        <v>57</v>
      </c>
      <c r="F22" s="128">
        <f t="shared" si="2"/>
        <v>1</v>
      </c>
      <c r="G22" s="129">
        <v>1</v>
      </c>
      <c r="H22" s="129"/>
      <c r="I22" s="130" t="str">
        <f t="shared" si="3"/>
        <v>Yes</v>
      </c>
    </row>
    <row r="23" spans="1:9" ht="20.399999999999999" customHeight="1" x14ac:dyDescent="0.3">
      <c r="A23" s="230"/>
      <c r="B23" s="221"/>
      <c r="C23" s="126" t="str">
        <f>"Anode-1, HSCI, Tubular, TA-4 c/w -" &amp; 'Cal.(DW)'!F81 &amp; " M 16mm² PVDF/HMWPE Cable"</f>
        <v>Anode-1, HSCI, Tubular, TA-4 c/w -35 M 16mm² PVDF/HMWPE Cable</v>
      </c>
      <c r="D23" s="127" t="s">
        <v>307</v>
      </c>
      <c r="E23" s="127" t="s">
        <v>57</v>
      </c>
      <c r="F23" s="128">
        <f t="shared" si="2"/>
        <v>1</v>
      </c>
      <c r="G23" s="129">
        <v>1</v>
      </c>
      <c r="H23" s="129"/>
      <c r="I23" s="130" t="str">
        <f t="shared" si="3"/>
        <v>Yes</v>
      </c>
    </row>
    <row r="24" spans="1:9" ht="20.399999999999999" customHeight="1" x14ac:dyDescent="0.3">
      <c r="A24" s="230"/>
      <c r="B24" s="221"/>
      <c r="C24" s="126" t="str">
        <f>"Anode-1, HSCI, Tubular, TA-4 c/w -" &amp; 'Cal.(DW)'!F82 &amp; " M 16mm² PVDF/HMWPE Cable"</f>
        <v>Anode-1, HSCI, Tubular, TA-4 c/w -40 M 16mm² PVDF/HMWPE Cable</v>
      </c>
      <c r="D24" s="127" t="s">
        <v>307</v>
      </c>
      <c r="E24" s="127" t="s">
        <v>57</v>
      </c>
      <c r="F24" s="128">
        <f t="shared" si="2"/>
        <v>1</v>
      </c>
      <c r="G24" s="129">
        <v>1</v>
      </c>
      <c r="H24" s="129"/>
      <c r="I24" s="130" t="str">
        <f t="shared" si="3"/>
        <v>Yes</v>
      </c>
    </row>
    <row r="25" spans="1:9" ht="20.399999999999999" customHeight="1" x14ac:dyDescent="0.3">
      <c r="A25" s="230"/>
      <c r="B25" s="221"/>
      <c r="C25" s="126" t="str">
        <f>"Anode-1, HSCI, Tubular, TA-4 c/w -" &amp; 'Cal.(DW)'!F83 &amp; " M 16mm² PVDF/HMWPE Cable"</f>
        <v>Anode-1, HSCI, Tubular, TA-4 c/w -45 M 16mm² PVDF/HMWPE Cable</v>
      </c>
      <c r="D25" s="127" t="s">
        <v>307</v>
      </c>
      <c r="E25" s="127" t="s">
        <v>57</v>
      </c>
      <c r="F25" s="128">
        <f t="shared" si="2"/>
        <v>1</v>
      </c>
      <c r="G25" s="129">
        <v>1</v>
      </c>
      <c r="H25" s="129"/>
      <c r="I25" s="130" t="str">
        <f t="shared" si="3"/>
        <v>Yes</v>
      </c>
    </row>
    <row r="26" spans="1:9" ht="20.399999999999999" customHeight="1" x14ac:dyDescent="0.3">
      <c r="A26" s="230"/>
      <c r="B26" s="221"/>
      <c r="C26" s="126" t="str">
        <f>"Anode-1, HSCI, Tubular, TA-4 c/w -" &amp; 'Cal.(DW)'!F84 &amp; " M 16mm² PVDF/HMWPE Cable"</f>
        <v>Anode-1, HSCI, Tubular, TA-4 c/w -50 M 16mm² PVDF/HMWPE Cable</v>
      </c>
      <c r="D26" s="127" t="s">
        <v>307</v>
      </c>
      <c r="E26" s="127" t="s">
        <v>57</v>
      </c>
      <c r="F26" s="128">
        <f t="shared" si="2"/>
        <v>1</v>
      </c>
      <c r="G26" s="129">
        <v>1</v>
      </c>
      <c r="H26" s="129"/>
      <c r="I26" s="130" t="str">
        <f t="shared" si="3"/>
        <v>Yes</v>
      </c>
    </row>
    <row r="27" spans="1:9" ht="20.399999999999999" customHeight="1" x14ac:dyDescent="0.3">
      <c r="A27" s="230"/>
      <c r="B27" s="221"/>
      <c r="C27" s="126" t="str">
        <f>"Anode-1, HSCI, Tubular, TA-4 c/w -" &amp; 'Cal.(DW)'!F85 &amp; " M 16mm² PVDF/HMWPE Cable"</f>
        <v>Anode-1, HSCI, Tubular, TA-4 c/w -55 M 16mm² PVDF/HMWPE Cable</v>
      </c>
      <c r="D27" s="127" t="s">
        <v>307</v>
      </c>
      <c r="E27" s="127" t="s">
        <v>57</v>
      </c>
      <c r="F27" s="128">
        <f t="shared" si="2"/>
        <v>1</v>
      </c>
      <c r="G27" s="129">
        <v>1</v>
      </c>
      <c r="H27" s="129"/>
      <c r="I27" s="130" t="str">
        <f t="shared" si="3"/>
        <v>Yes</v>
      </c>
    </row>
    <row r="28" spans="1:9" ht="20.399999999999999" customHeight="1" x14ac:dyDescent="0.3">
      <c r="A28" s="230"/>
      <c r="B28" s="221"/>
      <c r="C28" s="126" t="str">
        <f>"Anode-1, HSCI, Tubular, TA-4 c/w -" &amp; 'Cal.(DW)'!F86 &amp; " M 16mm² PVDF/HMWPE Cable"</f>
        <v>Anode-1, HSCI, Tubular, TA-4 c/w -60 M 16mm² PVDF/HMWPE Cable</v>
      </c>
      <c r="D28" s="127" t="s">
        <v>307</v>
      </c>
      <c r="E28" s="127" t="s">
        <v>57</v>
      </c>
      <c r="F28" s="128">
        <f t="shared" si="2"/>
        <v>1</v>
      </c>
      <c r="G28" s="129">
        <v>1</v>
      </c>
      <c r="H28" s="129"/>
      <c r="I28" s="130" t="str">
        <f t="shared" si="3"/>
        <v>Yes</v>
      </c>
    </row>
    <row r="29" spans="1:9" ht="19.8" customHeight="1" x14ac:dyDescent="0.3">
      <c r="A29" s="230"/>
      <c r="B29" s="221"/>
      <c r="C29" s="126" t="str">
        <f>"Anode-1, HSCI, Tubular, TA-4 c/w -" &amp; 'Cal.(DW)'!F87 &amp; " M 16mm² PVDF/HMWPE Cable"</f>
        <v>Anode-1, HSCI, Tubular, TA-4 c/w -65 M 16mm² PVDF/HMWPE Cable</v>
      </c>
      <c r="D29" s="127" t="s">
        <v>307</v>
      </c>
      <c r="E29" s="127" t="s">
        <v>57</v>
      </c>
      <c r="F29" s="128">
        <f t="shared" si="2"/>
        <v>1</v>
      </c>
      <c r="G29" s="129">
        <v>1</v>
      </c>
      <c r="H29" s="129"/>
      <c r="I29" s="130" t="str">
        <f t="shared" si="3"/>
        <v>Yes</v>
      </c>
    </row>
    <row r="30" spans="1:9" ht="19.8" customHeight="1" x14ac:dyDescent="0.3">
      <c r="A30" s="230"/>
      <c r="B30" s="127"/>
      <c r="C30" s="126" t="str">
        <f>"Anode-1, HSCI, Tubular, TA-4 c/w -" &amp; 'Cal.(DW)'!F88 &amp; " M 16mm² PVDF/HMWPE Cable"</f>
        <v>Anode-1, HSCI, Tubular, TA-4 c/w - M 16mm² PVDF/HMWPE Cable</v>
      </c>
      <c r="D30" s="127" t="s">
        <v>307</v>
      </c>
      <c r="E30" s="127" t="s">
        <v>57</v>
      </c>
      <c r="F30" s="128">
        <f t="shared" si="2"/>
        <v>0</v>
      </c>
      <c r="G30" s="129"/>
      <c r="H30" s="129"/>
      <c r="I30" s="130" t="str">
        <f t="shared" si="3"/>
        <v>No</v>
      </c>
    </row>
    <row r="31" spans="1:9" ht="19.8" customHeight="1" x14ac:dyDescent="0.3">
      <c r="A31" s="230"/>
      <c r="B31" s="127"/>
      <c r="C31" s="126" t="str">
        <f>"Anode-1, HSCI, Tubular, TA-4 c/w -" &amp; 'Cal.(DW)'!F89 &amp; " M 16mm² PVDF/HMWPE Cable"</f>
        <v>Anode-1, HSCI, Tubular, TA-4 c/w - M 16mm² PVDF/HMWPE Cable</v>
      </c>
      <c r="D31" s="127" t="s">
        <v>307</v>
      </c>
      <c r="E31" s="127" t="s">
        <v>57</v>
      </c>
      <c r="F31" s="128">
        <f t="shared" si="2"/>
        <v>0</v>
      </c>
      <c r="G31" s="129"/>
      <c r="H31" s="129"/>
      <c r="I31" s="130" t="str">
        <f t="shared" si="3"/>
        <v>No</v>
      </c>
    </row>
    <row r="32" spans="1:9" ht="19.8" customHeight="1" x14ac:dyDescent="0.3">
      <c r="A32" s="230"/>
      <c r="B32" s="127"/>
      <c r="C32" s="126" t="str">
        <f>"Anode-1, HSCI, Tubular, TA-4 c/w -" &amp; 'Cal.(DW)'!F90 &amp; " M 16mm² PVDF/HMWPE Cable"</f>
        <v>Anode-1, HSCI, Tubular, TA-4 c/w - M 16mm² PVDF/HMWPE Cable</v>
      </c>
      <c r="D32" s="127" t="s">
        <v>307</v>
      </c>
      <c r="E32" s="127" t="s">
        <v>57</v>
      </c>
      <c r="F32" s="128">
        <f t="shared" si="2"/>
        <v>0</v>
      </c>
      <c r="G32" s="129"/>
      <c r="H32" s="129"/>
      <c r="I32" s="130" t="str">
        <f t="shared" si="3"/>
        <v>No</v>
      </c>
    </row>
    <row r="33" spans="1:9" x14ac:dyDescent="0.3">
      <c r="A33" s="127">
        <f>IF(OR(G33="-", G19&lt;=0), "", MAX($A$11:A32)+1)</f>
        <v>6</v>
      </c>
      <c r="B33" s="127">
        <v>5</v>
      </c>
      <c r="C33" s="126" t="s">
        <v>308</v>
      </c>
      <c r="D33" s="127" t="s">
        <v>309</v>
      </c>
      <c r="E33" s="127" t="s">
        <v>310</v>
      </c>
      <c r="F33" s="128">
        <f t="shared" si="2"/>
        <v>180</v>
      </c>
      <c r="G33" s="132">
        <v>180</v>
      </c>
      <c r="H33" s="132"/>
      <c r="I33" s="130" t="str">
        <f t="shared" si="3"/>
        <v>Yes</v>
      </c>
    </row>
    <row r="34" spans="1:9" x14ac:dyDescent="0.3">
      <c r="A34" s="221">
        <v>7</v>
      </c>
      <c r="B34" s="127"/>
      <c r="C34" s="126" t="s">
        <v>311</v>
      </c>
      <c r="D34" s="127" t="s">
        <v>312</v>
      </c>
      <c r="E34" s="127" t="s">
        <v>57</v>
      </c>
      <c r="F34" s="128">
        <f t="shared" si="2"/>
        <v>0</v>
      </c>
      <c r="G34" s="129">
        <v>0</v>
      </c>
      <c r="H34" s="129"/>
      <c r="I34" s="130" t="str">
        <f t="shared" si="3"/>
        <v>No</v>
      </c>
    </row>
    <row r="35" spans="1:9" x14ac:dyDescent="0.3">
      <c r="A35" s="221"/>
      <c r="B35" s="127">
        <v>6</v>
      </c>
      <c r="C35" s="126" t="s">
        <v>313</v>
      </c>
      <c r="D35" s="127" t="s">
        <v>312</v>
      </c>
      <c r="E35" s="127" t="s">
        <v>57</v>
      </c>
      <c r="F35" s="128">
        <f>SUM(G35:G35)</f>
        <v>1</v>
      </c>
      <c r="G35" s="132">
        <v>1</v>
      </c>
      <c r="H35" s="132"/>
      <c r="I35" s="130" t="str">
        <f>IF(ISNUMBER(G35) * (G35 &gt; 0), "Yes", "No")</f>
        <v>Yes</v>
      </c>
    </row>
    <row r="36" spans="1:9" x14ac:dyDescent="0.3">
      <c r="A36" s="127"/>
      <c r="B36" s="127"/>
      <c r="C36" s="126" t="s">
        <v>314</v>
      </c>
      <c r="D36" s="127" t="s">
        <v>312</v>
      </c>
      <c r="E36" s="127" t="s">
        <v>57</v>
      </c>
      <c r="F36" s="128">
        <f>SUM(G36:G36)</f>
        <v>0</v>
      </c>
      <c r="G36" s="132">
        <f>IF(G4&gt;1, 1, 0)</f>
        <v>0</v>
      </c>
      <c r="H36" s="132"/>
      <c r="I36" s="130" t="str">
        <f>IF(ISNUMBER(G36) * (G36 &gt; 0), "Yes", "No")</f>
        <v>No</v>
      </c>
    </row>
    <row r="37" spans="1:9" x14ac:dyDescent="0.3">
      <c r="A37" s="127">
        <v>8</v>
      </c>
      <c r="B37" s="127"/>
      <c r="C37" s="126" t="s">
        <v>315</v>
      </c>
      <c r="D37" s="127"/>
      <c r="E37" s="127" t="s">
        <v>57</v>
      </c>
      <c r="F37" s="128">
        <f t="shared" ref="F37:F38" si="4">SUM(G37:G37)</f>
        <v>1</v>
      </c>
      <c r="G37" s="132">
        <f>G35+G36</f>
        <v>1</v>
      </c>
      <c r="H37" s="132"/>
      <c r="I37" s="130"/>
    </row>
    <row r="38" spans="1:9" x14ac:dyDescent="0.3">
      <c r="A38" s="127" t="str">
        <f ca="1">IF(OR(G37="-", G37&lt;=0), "", MAX($A$11:A40)+1)</f>
        <v/>
      </c>
      <c r="B38" s="127"/>
      <c r="C38" s="126" t="s">
        <v>316</v>
      </c>
      <c r="D38" s="127"/>
      <c r="E38" s="127" t="s">
        <v>57</v>
      </c>
      <c r="F38" s="128">
        <f t="shared" si="4"/>
        <v>0</v>
      </c>
      <c r="G38" s="132">
        <f>G36</f>
        <v>0</v>
      </c>
      <c r="H38" s="132"/>
      <c r="I38" s="130"/>
    </row>
    <row r="39" spans="1:9" ht="17.399999999999999" customHeight="1" x14ac:dyDescent="0.3">
      <c r="A39" s="222" t="s">
        <v>317</v>
      </c>
      <c r="B39" s="222"/>
      <c r="C39" s="223"/>
      <c r="D39" s="222"/>
      <c r="E39" s="222"/>
      <c r="F39" s="128"/>
      <c r="G39" s="129"/>
      <c r="H39" s="129"/>
      <c r="I39" s="130" t="s">
        <v>75</v>
      </c>
    </row>
    <row r="40" spans="1:9" ht="26.4" customHeight="1" x14ac:dyDescent="0.3">
      <c r="A40" s="127">
        <v>9</v>
      </c>
      <c r="B40" s="127">
        <v>7</v>
      </c>
      <c r="C40" s="133" t="s">
        <v>318</v>
      </c>
      <c r="D40" s="127" t="s">
        <v>312</v>
      </c>
      <c r="E40" s="127" t="s">
        <v>57</v>
      </c>
      <c r="F40" s="128">
        <f t="shared" ref="F40:F47" si="5">SUM(G40:G40)</f>
        <v>1</v>
      </c>
      <c r="G40" s="129">
        <v>1</v>
      </c>
      <c r="H40" s="129"/>
      <c r="I40" s="130" t="str">
        <f t="shared" ref="I40:I47" si="6">IF(ISNUMBER(G40) * (G40 &gt; 0), "Yes", "No")</f>
        <v>Yes</v>
      </c>
    </row>
    <row r="41" spans="1:9" x14ac:dyDescent="0.3">
      <c r="A41" s="127">
        <v>10</v>
      </c>
      <c r="B41" s="127"/>
      <c r="C41" s="133" t="s">
        <v>319</v>
      </c>
      <c r="D41" s="127"/>
      <c r="E41" s="127"/>
      <c r="F41" s="128">
        <f t="shared" si="5"/>
        <v>1</v>
      </c>
      <c r="G41" s="129">
        <f>G40</f>
        <v>1</v>
      </c>
      <c r="H41" s="129"/>
      <c r="I41" s="130"/>
    </row>
    <row r="42" spans="1:9" x14ac:dyDescent="0.3">
      <c r="A42" s="127">
        <v>11</v>
      </c>
      <c r="B42" s="127">
        <v>8</v>
      </c>
      <c r="C42" s="126" t="s">
        <v>320</v>
      </c>
      <c r="D42" s="127" t="s">
        <v>309</v>
      </c>
      <c r="E42" s="127" t="s">
        <v>310</v>
      </c>
      <c r="F42" s="128">
        <f t="shared" si="5"/>
        <v>60</v>
      </c>
      <c r="G42" s="132">
        <v>60</v>
      </c>
      <c r="H42" s="132"/>
      <c r="I42" s="130" t="str">
        <f t="shared" si="6"/>
        <v>Yes</v>
      </c>
    </row>
    <row r="43" spans="1:9" x14ac:dyDescent="0.3">
      <c r="A43" s="127">
        <v>12</v>
      </c>
      <c r="B43" s="127">
        <v>9</v>
      </c>
      <c r="C43" s="126" t="s">
        <v>321</v>
      </c>
      <c r="D43" s="127" t="s">
        <v>309</v>
      </c>
      <c r="E43" s="127" t="s">
        <v>310</v>
      </c>
      <c r="F43" s="128">
        <f t="shared" si="5"/>
        <v>150</v>
      </c>
      <c r="G43" s="129">
        <v>150</v>
      </c>
      <c r="H43" s="129"/>
      <c r="I43" s="130" t="str">
        <f t="shared" si="6"/>
        <v>Yes</v>
      </c>
    </row>
    <row r="44" spans="1:9" ht="24" customHeight="1" x14ac:dyDescent="0.3">
      <c r="A44" s="127">
        <v>13</v>
      </c>
      <c r="B44" s="127">
        <v>10</v>
      </c>
      <c r="C44" s="133" t="s">
        <v>322</v>
      </c>
      <c r="D44" s="127" t="s">
        <v>5</v>
      </c>
      <c r="E44" s="127" t="s">
        <v>323</v>
      </c>
      <c r="F44" s="128">
        <f t="shared" si="5"/>
        <v>1</v>
      </c>
      <c r="G44" s="129">
        <v>1</v>
      </c>
      <c r="H44" s="129"/>
      <c r="I44" s="130" t="str">
        <f t="shared" si="6"/>
        <v>Yes</v>
      </c>
    </row>
    <row r="45" spans="1:9" ht="41.4" x14ac:dyDescent="0.3">
      <c r="A45" s="127">
        <v>14</v>
      </c>
      <c r="B45" s="127">
        <v>11</v>
      </c>
      <c r="C45" s="133" t="s">
        <v>324</v>
      </c>
      <c r="D45" s="127" t="s">
        <v>5</v>
      </c>
      <c r="E45" s="127" t="s">
        <v>57</v>
      </c>
      <c r="F45" s="128">
        <f t="shared" si="5"/>
        <v>1</v>
      </c>
      <c r="G45" s="129">
        <v>1</v>
      </c>
      <c r="H45" s="129"/>
      <c r="I45" s="130" t="str">
        <f t="shared" si="6"/>
        <v>Yes</v>
      </c>
    </row>
    <row r="46" spans="1:9" ht="27.6" x14ac:dyDescent="0.3">
      <c r="A46" s="127">
        <v>15</v>
      </c>
      <c r="B46" s="127">
        <v>12</v>
      </c>
      <c r="C46" s="133" t="s">
        <v>325</v>
      </c>
      <c r="D46" s="127"/>
      <c r="E46" s="127" t="s">
        <v>57</v>
      </c>
      <c r="F46" s="128">
        <f t="shared" si="5"/>
        <v>1</v>
      </c>
      <c r="G46" s="129">
        <v>1</v>
      </c>
      <c r="H46" s="129"/>
      <c r="I46" s="130" t="str">
        <f t="shared" si="6"/>
        <v>Yes</v>
      </c>
    </row>
    <row r="47" spans="1:9" ht="33" customHeight="1" x14ac:dyDescent="0.3">
      <c r="A47" s="127">
        <v>16</v>
      </c>
      <c r="B47" s="127">
        <v>13</v>
      </c>
      <c r="C47" s="133" t="s">
        <v>326</v>
      </c>
      <c r="D47" s="127"/>
      <c r="E47" s="127" t="s">
        <v>323</v>
      </c>
      <c r="F47" s="128">
        <f t="shared" si="5"/>
        <v>6.7000000000000004E-2</v>
      </c>
      <c r="G47" s="129">
        <f>G46*0.067</f>
        <v>6.7000000000000004E-2</v>
      </c>
      <c r="H47" s="129"/>
      <c r="I47" s="130" t="str">
        <f t="shared" si="6"/>
        <v>Yes</v>
      </c>
    </row>
    <row r="48" spans="1:9" ht="19.8" customHeight="1" x14ac:dyDescent="0.3">
      <c r="A48" s="222" t="s">
        <v>327</v>
      </c>
      <c r="B48" s="222"/>
      <c r="C48" s="223"/>
      <c r="D48" s="222"/>
      <c r="E48" s="222"/>
      <c r="F48" s="128"/>
      <c r="G48" s="129"/>
      <c r="H48" s="129"/>
      <c r="I48" s="130" t="s">
        <v>75</v>
      </c>
    </row>
    <row r="49" spans="1:9" x14ac:dyDescent="0.3">
      <c r="A49" s="127">
        <v>17</v>
      </c>
      <c r="B49" s="127">
        <v>14</v>
      </c>
      <c r="C49" s="126" t="s">
        <v>328</v>
      </c>
      <c r="D49" s="127" t="s">
        <v>329</v>
      </c>
      <c r="E49" s="127" t="s">
        <v>330</v>
      </c>
      <c r="F49" s="128">
        <f t="shared" ref="F49:F62" si="7">SUM(G49:G49)</f>
        <v>105</v>
      </c>
      <c r="G49" s="132">
        <f>'Cal.(DW)'!F213</f>
        <v>105</v>
      </c>
      <c r="H49" s="132"/>
      <c r="I49" s="130" t="str">
        <f t="shared" ref="I49:I62" si="8">IF(ISNUMBER(G49) * (G49 &gt; 0), "Yes", "No")</f>
        <v>Yes</v>
      </c>
    </row>
    <row r="50" spans="1:9" ht="27.6" x14ac:dyDescent="0.3">
      <c r="A50" s="127">
        <v>18</v>
      </c>
      <c r="B50" s="127">
        <v>15</v>
      </c>
      <c r="C50" s="126" t="s">
        <v>331</v>
      </c>
      <c r="D50" s="127" t="s">
        <v>332</v>
      </c>
      <c r="E50" s="127" t="s">
        <v>333</v>
      </c>
      <c r="F50" s="128">
        <f t="shared" si="7"/>
        <v>3</v>
      </c>
      <c r="G50" s="134">
        <f>CEILING(G6/6, 1)*G4</f>
        <v>3</v>
      </c>
      <c r="H50" s="134"/>
      <c r="I50" s="130" t="str">
        <f t="shared" si="8"/>
        <v>Yes</v>
      </c>
    </row>
    <row r="51" spans="1:9" ht="27.6" x14ac:dyDescent="0.3">
      <c r="A51" s="127">
        <v>19</v>
      </c>
      <c r="B51" s="127">
        <v>16</v>
      </c>
      <c r="C51" s="126" t="s">
        <v>334</v>
      </c>
      <c r="D51" s="127" t="s">
        <v>335</v>
      </c>
      <c r="E51" s="127" t="s">
        <v>333</v>
      </c>
      <c r="F51" s="128">
        <f t="shared" si="7"/>
        <v>6</v>
      </c>
      <c r="G51" s="129">
        <f>CEILING(G7/6, 1)*G4</f>
        <v>6</v>
      </c>
      <c r="H51" s="129"/>
      <c r="I51" s="130" t="str">
        <f t="shared" si="8"/>
        <v>Yes</v>
      </c>
    </row>
    <row r="52" spans="1:9" x14ac:dyDescent="0.3">
      <c r="A52" s="127">
        <v>20</v>
      </c>
      <c r="B52" s="127">
        <v>17</v>
      </c>
      <c r="C52" s="126" t="s">
        <v>336</v>
      </c>
      <c r="D52" s="127" t="s">
        <v>337</v>
      </c>
      <c r="E52" s="127" t="s">
        <v>333</v>
      </c>
      <c r="F52" s="128">
        <f t="shared" si="7"/>
        <v>2</v>
      </c>
      <c r="G52" s="135">
        <f>G50-1</f>
        <v>2</v>
      </c>
      <c r="H52" s="135"/>
      <c r="I52" s="130" t="str">
        <f t="shared" si="8"/>
        <v>Yes</v>
      </c>
    </row>
    <row r="53" spans="1:9" x14ac:dyDescent="0.3">
      <c r="A53" s="127">
        <v>21</v>
      </c>
      <c r="B53" s="127">
        <v>18</v>
      </c>
      <c r="C53" s="126" t="s">
        <v>338</v>
      </c>
      <c r="D53" s="127" t="s">
        <v>339</v>
      </c>
      <c r="E53" s="127" t="s">
        <v>333</v>
      </c>
      <c r="F53" s="128">
        <f t="shared" si="7"/>
        <v>15</v>
      </c>
      <c r="G53" s="129">
        <v>15</v>
      </c>
      <c r="H53" s="129"/>
      <c r="I53" s="130" t="str">
        <f t="shared" si="8"/>
        <v>Yes</v>
      </c>
    </row>
    <row r="54" spans="1:9" ht="82.8" x14ac:dyDescent="0.3">
      <c r="A54" s="127">
        <v>22</v>
      </c>
      <c r="B54" s="127"/>
      <c r="C54" s="126" t="s">
        <v>340</v>
      </c>
      <c r="D54" s="127"/>
      <c r="E54" s="127" t="s">
        <v>333</v>
      </c>
      <c r="F54" s="128">
        <f t="shared" si="7"/>
        <v>1</v>
      </c>
      <c r="G54" s="136">
        <f>G4</f>
        <v>1</v>
      </c>
      <c r="H54" s="136"/>
      <c r="I54" s="130" t="str">
        <f t="shared" si="8"/>
        <v>Yes</v>
      </c>
    </row>
    <row r="55" spans="1:9" x14ac:dyDescent="0.3">
      <c r="A55" s="127">
        <v>23</v>
      </c>
      <c r="B55" s="127">
        <v>22</v>
      </c>
      <c r="C55" s="126" t="s">
        <v>341</v>
      </c>
      <c r="D55" s="127" t="s">
        <v>342</v>
      </c>
      <c r="E55" s="127" t="s">
        <v>333</v>
      </c>
      <c r="F55" s="128">
        <f t="shared" si="7"/>
        <v>2</v>
      </c>
      <c r="G55" s="129">
        <f>G4*2</f>
        <v>2</v>
      </c>
      <c r="H55" s="129"/>
      <c r="I55" s="130" t="str">
        <f t="shared" si="8"/>
        <v>Yes</v>
      </c>
    </row>
    <row r="56" spans="1:9" x14ac:dyDescent="0.3">
      <c r="A56" s="127">
        <v>24</v>
      </c>
      <c r="B56" s="127">
        <v>23</v>
      </c>
      <c r="C56" s="126" t="s">
        <v>343</v>
      </c>
      <c r="D56" s="127" t="s">
        <v>344</v>
      </c>
      <c r="E56" s="127" t="s">
        <v>333</v>
      </c>
      <c r="F56" s="128">
        <f t="shared" si="7"/>
        <v>2</v>
      </c>
      <c r="G56" s="129">
        <f>G4*2</f>
        <v>2</v>
      </c>
      <c r="H56" s="129"/>
      <c r="I56" s="130" t="str">
        <f t="shared" si="8"/>
        <v>Yes</v>
      </c>
    </row>
    <row r="57" spans="1:9" ht="37.799999999999997" customHeight="1" x14ac:dyDescent="0.3">
      <c r="A57" s="127">
        <v>25</v>
      </c>
      <c r="B57" s="127">
        <v>24</v>
      </c>
      <c r="C57" s="126" t="s">
        <v>345</v>
      </c>
      <c r="D57" s="127" t="s">
        <v>346</v>
      </c>
      <c r="E57" s="127" t="s">
        <v>333</v>
      </c>
      <c r="F57" s="128">
        <f t="shared" si="7"/>
        <v>20</v>
      </c>
      <c r="G57" s="129">
        <f>20*G4</f>
        <v>20</v>
      </c>
      <c r="H57" s="129"/>
      <c r="I57" s="130" t="str">
        <f t="shared" si="8"/>
        <v>Yes</v>
      </c>
    </row>
    <row r="58" spans="1:9" x14ac:dyDescent="0.3">
      <c r="A58" s="127">
        <v>26</v>
      </c>
      <c r="B58" s="127">
        <v>25</v>
      </c>
      <c r="C58" s="137" t="s">
        <v>347</v>
      </c>
      <c r="D58" s="127" t="s">
        <v>5</v>
      </c>
      <c r="E58" s="127" t="s">
        <v>333</v>
      </c>
      <c r="F58" s="128">
        <f t="shared" si="7"/>
        <v>2</v>
      </c>
      <c r="G58" s="129">
        <f>G4*2</f>
        <v>2</v>
      </c>
      <c r="H58" s="129"/>
      <c r="I58" s="130" t="str">
        <f t="shared" si="8"/>
        <v>Yes</v>
      </c>
    </row>
    <row r="59" spans="1:9" x14ac:dyDescent="0.3">
      <c r="A59" s="127">
        <v>27</v>
      </c>
      <c r="B59" s="127">
        <v>26</v>
      </c>
      <c r="C59" s="137" t="s">
        <v>348</v>
      </c>
      <c r="D59" s="127" t="s">
        <v>5</v>
      </c>
      <c r="E59" s="127" t="s">
        <v>323</v>
      </c>
      <c r="F59" s="128">
        <f t="shared" si="7"/>
        <v>0.5</v>
      </c>
      <c r="G59" s="129">
        <v>0.5</v>
      </c>
      <c r="H59" s="129"/>
      <c r="I59" s="130" t="str">
        <f t="shared" si="8"/>
        <v>Yes</v>
      </c>
    </row>
    <row r="60" spans="1:9" x14ac:dyDescent="0.3">
      <c r="A60" s="127">
        <v>28</v>
      </c>
      <c r="B60" s="127">
        <v>27</v>
      </c>
      <c r="C60" s="137" t="s">
        <v>349</v>
      </c>
      <c r="D60" s="127" t="s">
        <v>350</v>
      </c>
      <c r="E60" s="127" t="s">
        <v>333</v>
      </c>
      <c r="F60" s="128">
        <f t="shared" si="7"/>
        <v>1</v>
      </c>
      <c r="G60" s="129">
        <v>1</v>
      </c>
      <c r="H60" s="129"/>
      <c r="I60" s="130" t="str">
        <f t="shared" si="8"/>
        <v>Yes</v>
      </c>
    </row>
    <row r="61" spans="1:9" x14ac:dyDescent="0.3">
      <c r="A61" s="127">
        <v>29</v>
      </c>
      <c r="B61" s="127">
        <v>28</v>
      </c>
      <c r="C61" s="137" t="s">
        <v>351</v>
      </c>
      <c r="D61" s="127" t="s">
        <v>352</v>
      </c>
      <c r="E61" s="127" t="s">
        <v>353</v>
      </c>
      <c r="F61" s="128">
        <f t="shared" si="7"/>
        <v>25</v>
      </c>
      <c r="G61" s="129">
        <v>25</v>
      </c>
      <c r="H61" s="129"/>
      <c r="I61" s="130" t="str">
        <f t="shared" si="8"/>
        <v>Yes</v>
      </c>
    </row>
    <row r="62" spans="1:9" x14ac:dyDescent="0.3">
      <c r="A62" s="127">
        <v>30</v>
      </c>
      <c r="B62" s="127">
        <v>29</v>
      </c>
      <c r="C62" s="137" t="s">
        <v>354</v>
      </c>
      <c r="D62" s="127" t="s">
        <v>5</v>
      </c>
      <c r="E62" s="127" t="s">
        <v>355</v>
      </c>
      <c r="F62" s="128">
        <f t="shared" si="7"/>
        <v>1</v>
      </c>
      <c r="G62" s="132">
        <v>1</v>
      </c>
      <c r="H62" s="132"/>
      <c r="I62" s="130" t="str">
        <f t="shared" si="8"/>
        <v>Yes</v>
      </c>
    </row>
    <row r="63" spans="1:9" x14ac:dyDescent="0.3">
      <c r="A63" s="127"/>
      <c r="B63" s="127"/>
      <c r="C63" s="138"/>
      <c r="D63" s="127"/>
      <c r="E63" s="127"/>
      <c r="F63" s="128"/>
      <c r="G63" s="132"/>
      <c r="H63" s="132"/>
      <c r="I63" s="130"/>
    </row>
    <row r="64" spans="1:9" x14ac:dyDescent="0.3">
      <c r="C64" s="139"/>
      <c r="D64" s="140"/>
      <c r="E64" s="141"/>
      <c r="F64" s="141"/>
      <c r="G64" s="141"/>
      <c r="H64" s="141"/>
    </row>
  </sheetData>
  <autoFilter ref="A8:J63" xr:uid="{A6A16357-718C-41E3-920B-506368A0FAB9}">
    <filterColumn colId="0" showButton="0"/>
    <filterColumn colId="1" showButton="0"/>
    <filterColumn colId="2" showButton="0"/>
    <filterColumn colId="3" showButton="0"/>
  </autoFilter>
  <mergeCells count="9">
    <mergeCell ref="A34:A35"/>
    <mergeCell ref="A39:E39"/>
    <mergeCell ref="A48:E48"/>
    <mergeCell ref="A8:E8"/>
    <mergeCell ref="A10:E10"/>
    <mergeCell ref="A11:A16"/>
    <mergeCell ref="A20:D20"/>
    <mergeCell ref="A21:A32"/>
    <mergeCell ref="B21:B29"/>
  </mergeCells>
  <pageMargins left="0.7" right="0.7" top="0.75" bottom="0.75" header="0" footer="0"/>
  <pageSetup paperSize="8" scale="48" fitToWidth="0" orientation="landscape" r:id="rId1"/>
  <headerFooter>
    <oddHeader>&amp;L&amp;G&amp;C&amp;"+,Bold"&amp;18BUDGETRAY BILL OF MATERIAL FOR PERMANENT CP SYSTEM-ECP-24-119 (SAOO)                              &amp;G&amp;R&amp;G</oddHeader>
    <oddFooter>&amp;C&amp;P&amp;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FDD-BBC8-451C-99D6-5746486103FB}">
  <sheetPr>
    <tabColor rgb="FF00B0F0"/>
  </sheetPr>
  <dimension ref="A1:H51"/>
  <sheetViews>
    <sheetView topLeftCell="A33" zoomScale="85" zoomScaleNormal="85" workbookViewId="0">
      <selection activeCell="F235" sqref="F235:G235"/>
    </sheetView>
  </sheetViews>
  <sheetFormatPr defaultColWidth="14.44140625" defaultRowHeight="15" customHeight="1" x14ac:dyDescent="0.3"/>
  <cols>
    <col min="1" max="1" width="8.6640625" customWidth="1"/>
    <col min="2" max="2" width="60.88671875" customWidth="1"/>
    <col min="3" max="3" width="17.88671875" bestFit="1" customWidth="1"/>
    <col min="4" max="4" width="8.6640625" customWidth="1"/>
    <col min="5" max="5" width="18" customWidth="1"/>
    <col min="6" max="6" width="33.44140625" customWidth="1"/>
    <col min="7" max="26" width="8.6640625" customWidth="1"/>
  </cols>
  <sheetData>
    <row r="1" spans="1:7" ht="21.75" customHeight="1" x14ac:dyDescent="0.3">
      <c r="A1" s="231" t="s">
        <v>356</v>
      </c>
      <c r="B1" s="232"/>
      <c r="C1" s="232"/>
      <c r="D1" s="232"/>
      <c r="E1" s="233"/>
      <c r="F1" s="142"/>
    </row>
    <row r="2" spans="1:7" ht="27.75" customHeight="1" x14ac:dyDescent="0.3">
      <c r="A2" s="143" t="s">
        <v>287</v>
      </c>
      <c r="B2" s="144" t="s">
        <v>288</v>
      </c>
      <c r="C2" s="143" t="s">
        <v>289</v>
      </c>
      <c r="D2" s="143" t="s">
        <v>290</v>
      </c>
      <c r="E2" s="144" t="s">
        <v>357</v>
      </c>
      <c r="F2" s="145" t="s">
        <v>358</v>
      </c>
    </row>
    <row r="3" spans="1:7" ht="14.25" customHeight="1" x14ac:dyDescent="0.3">
      <c r="A3" s="234" t="s">
        <v>292</v>
      </c>
      <c r="B3" s="232"/>
      <c r="C3" s="232"/>
      <c r="D3" s="233"/>
      <c r="E3" s="144"/>
      <c r="F3" s="146"/>
    </row>
    <row r="4" spans="1:7" ht="55.2" x14ac:dyDescent="0.3">
      <c r="A4" s="147">
        <v>1</v>
      </c>
      <c r="B4" s="148" t="s">
        <v>359</v>
      </c>
      <c r="C4" s="147" t="s">
        <v>294</v>
      </c>
      <c r="D4" s="147" t="s">
        <v>57</v>
      </c>
      <c r="E4" s="149">
        <v>1</v>
      </c>
      <c r="F4" s="150"/>
      <c r="G4" s="151" t="str">
        <f t="shared" ref="G4:G7" si="0">IF(E4 &gt; 0, "Yes", "No")</f>
        <v>Yes</v>
      </c>
    </row>
    <row r="5" spans="1:7" ht="14.4" x14ac:dyDescent="0.3">
      <c r="A5" s="147">
        <v>2</v>
      </c>
      <c r="B5" s="148" t="s">
        <v>301</v>
      </c>
      <c r="C5" s="147"/>
      <c r="D5" s="147" t="s">
        <v>57</v>
      </c>
      <c r="E5" s="149">
        <v>1</v>
      </c>
      <c r="F5" s="150"/>
      <c r="G5" s="151" t="str">
        <f t="shared" si="0"/>
        <v>Yes</v>
      </c>
    </row>
    <row r="6" spans="1:7" ht="14.25" customHeight="1" x14ac:dyDescent="0.3">
      <c r="A6" s="152">
        <f>IF(OR(E6="-", E6&lt;=0), "", MAX($A$4:A4)+1)</f>
        <v>2</v>
      </c>
      <c r="B6" s="148" t="s">
        <v>302</v>
      </c>
      <c r="C6" s="147" t="s">
        <v>5</v>
      </c>
      <c r="D6" s="147" t="s">
        <v>303</v>
      </c>
      <c r="E6" s="149">
        <v>1</v>
      </c>
      <c r="F6" s="153"/>
      <c r="G6" s="151" t="str">
        <f t="shared" si="0"/>
        <v>Yes</v>
      </c>
    </row>
    <row r="7" spans="1:7" ht="14.25" customHeight="1" x14ac:dyDescent="0.3">
      <c r="A7" s="152">
        <f t="shared" ref="A7" si="1">IF(OR(E7="-", E7&lt;=0), "", MAX($A$4:A6)+1)</f>
        <v>3</v>
      </c>
      <c r="B7" s="148" t="s">
        <v>304</v>
      </c>
      <c r="C7" s="147" t="s">
        <v>5</v>
      </c>
      <c r="D7" s="147" t="s">
        <v>305</v>
      </c>
      <c r="E7" s="149">
        <v>1</v>
      </c>
      <c r="F7" s="154"/>
      <c r="G7" s="151" t="str">
        <f t="shared" si="0"/>
        <v>Yes</v>
      </c>
    </row>
    <row r="8" spans="1:7" ht="14.25" customHeight="1" x14ac:dyDescent="0.3">
      <c r="A8" s="234" t="s">
        <v>306</v>
      </c>
      <c r="B8" s="232"/>
      <c r="C8" s="232"/>
      <c r="D8" s="233"/>
      <c r="E8" s="149"/>
      <c r="F8" s="155"/>
      <c r="G8" s="151" t="s">
        <v>75</v>
      </c>
    </row>
    <row r="9" spans="1:7" ht="14.25" customHeight="1" x14ac:dyDescent="0.3">
      <c r="A9" s="147">
        <f>IF(OR(E9:E16="-", E9&lt;=0), "", MAX($A$4:A7)+1)</f>
        <v>4</v>
      </c>
      <c r="B9" s="148" t="s">
        <v>360</v>
      </c>
      <c r="C9" s="147" t="s">
        <v>307</v>
      </c>
      <c r="D9" s="147" t="s">
        <v>57</v>
      </c>
      <c r="E9" s="149">
        <v>1</v>
      </c>
      <c r="F9" s="153"/>
      <c r="G9" s="151" t="str">
        <f t="shared" ref="G9:G23" si="2">IF(E9 &gt; 0, "Yes", "No")</f>
        <v>Yes</v>
      </c>
    </row>
    <row r="10" spans="1:7" ht="14.25" customHeight="1" x14ac:dyDescent="0.3">
      <c r="A10" s="147"/>
      <c r="B10" s="148" t="s">
        <v>361</v>
      </c>
      <c r="C10" s="147" t="s">
        <v>307</v>
      </c>
      <c r="D10" s="147" t="s">
        <v>57</v>
      </c>
      <c r="E10" s="149">
        <v>1</v>
      </c>
      <c r="F10" s="153"/>
      <c r="G10" s="151" t="str">
        <f t="shared" si="2"/>
        <v>Yes</v>
      </c>
    </row>
    <row r="11" spans="1:7" ht="14.25" customHeight="1" x14ac:dyDescent="0.3">
      <c r="A11" s="147"/>
      <c r="B11" s="148" t="s">
        <v>362</v>
      </c>
      <c r="C11" s="147" t="s">
        <v>307</v>
      </c>
      <c r="D11" s="147" t="s">
        <v>57</v>
      </c>
      <c r="E11" s="149">
        <v>1</v>
      </c>
      <c r="F11" s="153"/>
      <c r="G11" s="151" t="str">
        <f t="shared" si="2"/>
        <v>Yes</v>
      </c>
    </row>
    <row r="12" spans="1:7" ht="14.25" customHeight="1" x14ac:dyDescent="0.3">
      <c r="A12" s="147"/>
      <c r="B12" s="148" t="s">
        <v>363</v>
      </c>
      <c r="C12" s="147" t="s">
        <v>307</v>
      </c>
      <c r="D12" s="147" t="s">
        <v>57</v>
      </c>
      <c r="E12" s="149">
        <v>1</v>
      </c>
      <c r="F12" s="153"/>
      <c r="G12" s="151" t="str">
        <f t="shared" si="2"/>
        <v>Yes</v>
      </c>
    </row>
    <row r="13" spans="1:7" ht="14.25" customHeight="1" x14ac:dyDescent="0.3">
      <c r="A13" s="147"/>
      <c r="B13" s="148" t="s">
        <v>364</v>
      </c>
      <c r="C13" s="147" t="s">
        <v>307</v>
      </c>
      <c r="D13" s="147" t="s">
        <v>57</v>
      </c>
      <c r="E13" s="149">
        <v>1</v>
      </c>
      <c r="F13" s="153"/>
      <c r="G13" s="151" t="str">
        <f t="shared" si="2"/>
        <v>Yes</v>
      </c>
    </row>
    <row r="14" spans="1:7" ht="14.25" customHeight="1" x14ac:dyDescent="0.3">
      <c r="A14" s="147"/>
      <c r="B14" s="148" t="s">
        <v>365</v>
      </c>
      <c r="C14" s="147" t="s">
        <v>307</v>
      </c>
      <c r="D14" s="147" t="s">
        <v>57</v>
      </c>
      <c r="E14" s="149">
        <v>1</v>
      </c>
      <c r="F14" s="153"/>
      <c r="G14" s="151" t="str">
        <f t="shared" si="2"/>
        <v>Yes</v>
      </c>
    </row>
    <row r="15" spans="1:7" ht="14.25" customHeight="1" x14ac:dyDescent="0.3">
      <c r="A15" s="147"/>
      <c r="B15" s="148" t="s">
        <v>366</v>
      </c>
      <c r="C15" s="147" t="s">
        <v>307</v>
      </c>
      <c r="D15" s="147" t="s">
        <v>57</v>
      </c>
      <c r="E15" s="149">
        <v>1</v>
      </c>
      <c r="F15" s="153"/>
      <c r="G15" s="151" t="str">
        <f t="shared" si="2"/>
        <v>Yes</v>
      </c>
    </row>
    <row r="16" spans="1:7" ht="14.25" customHeight="1" x14ac:dyDescent="0.3">
      <c r="A16" s="147"/>
      <c r="B16" s="148" t="s">
        <v>367</v>
      </c>
      <c r="C16" s="147" t="s">
        <v>307</v>
      </c>
      <c r="D16" s="147" t="s">
        <v>57</v>
      </c>
      <c r="E16" s="149">
        <v>1</v>
      </c>
      <c r="F16" s="153"/>
      <c r="G16" s="151" t="str">
        <f t="shared" si="2"/>
        <v>Yes</v>
      </c>
    </row>
    <row r="17" spans="1:8" ht="14.25" customHeight="1" x14ac:dyDescent="0.3">
      <c r="A17" s="147"/>
      <c r="B17" s="148" t="s">
        <v>368</v>
      </c>
      <c r="C17" s="147" t="s">
        <v>307</v>
      </c>
      <c r="D17" s="147" t="s">
        <v>57</v>
      </c>
      <c r="E17" s="149">
        <v>1</v>
      </c>
      <c r="F17" s="153"/>
      <c r="G17" s="151" t="str">
        <f t="shared" si="2"/>
        <v>Yes</v>
      </c>
    </row>
    <row r="18" spans="1:8" ht="14.25" customHeight="1" x14ac:dyDescent="0.3">
      <c r="A18" s="147"/>
      <c r="B18" s="148" t="s">
        <v>369</v>
      </c>
      <c r="C18" s="147" t="s">
        <v>307</v>
      </c>
      <c r="D18" s="147" t="s">
        <v>57</v>
      </c>
      <c r="E18" s="149">
        <v>1</v>
      </c>
      <c r="F18" s="153"/>
      <c r="G18" s="151"/>
    </row>
    <row r="19" spans="1:8" ht="14.25" customHeight="1" x14ac:dyDescent="0.3">
      <c r="A19" s="147"/>
      <c r="B19" s="148" t="s">
        <v>370</v>
      </c>
      <c r="C19" s="147" t="s">
        <v>307</v>
      </c>
      <c r="D19" s="147" t="s">
        <v>57</v>
      </c>
      <c r="E19" s="149">
        <v>1</v>
      </c>
      <c r="F19" s="153"/>
      <c r="G19" s="151"/>
    </row>
    <row r="20" spans="1:8" ht="14.25" customHeight="1" x14ac:dyDescent="0.3">
      <c r="A20" s="147"/>
      <c r="B20" s="148" t="s">
        <v>371</v>
      </c>
      <c r="C20" s="147" t="s">
        <v>307</v>
      </c>
      <c r="D20" s="147" t="s">
        <v>57</v>
      </c>
      <c r="E20" s="149">
        <v>1</v>
      </c>
      <c r="F20" s="153"/>
      <c r="G20" s="151"/>
    </row>
    <row r="21" spans="1:8" ht="14.25" customHeight="1" x14ac:dyDescent="0.3">
      <c r="A21" s="147">
        <f>IF(OR(E21="-", E7&lt;=0), "", MAX($A$4:A17)+1)</f>
        <v>5</v>
      </c>
      <c r="B21" s="126" t="s">
        <v>308</v>
      </c>
      <c r="C21" s="147" t="s">
        <v>309</v>
      </c>
      <c r="D21" s="147" t="s">
        <v>310</v>
      </c>
      <c r="E21" s="149">
        <v>160</v>
      </c>
      <c r="F21" s="153"/>
      <c r="G21" s="151" t="str">
        <f t="shared" si="2"/>
        <v>Yes</v>
      </c>
    </row>
    <row r="22" spans="1:8" ht="14.25" customHeight="1" x14ac:dyDescent="0.3">
      <c r="A22" s="147">
        <f>IF(OR(E22="-", E22&lt;=0), "", MAX($A$4:A21)+1)</f>
        <v>6</v>
      </c>
      <c r="B22" s="148" t="s">
        <v>372</v>
      </c>
      <c r="C22" s="147" t="s">
        <v>312</v>
      </c>
      <c r="D22" s="147" t="s">
        <v>57</v>
      </c>
      <c r="E22" s="149">
        <v>1</v>
      </c>
      <c r="F22" s="154"/>
      <c r="G22" s="151" t="str">
        <f t="shared" si="2"/>
        <v>Yes</v>
      </c>
    </row>
    <row r="23" spans="1:8" ht="14.25" customHeight="1" x14ac:dyDescent="0.3">
      <c r="A23" s="147" t="str">
        <f>IF(OR(E23="-", E23&lt;=0), "", MAX($A$4:A22)+1)</f>
        <v/>
      </c>
      <c r="B23" s="148" t="s">
        <v>315</v>
      </c>
      <c r="C23" s="147"/>
      <c r="D23" s="147"/>
      <c r="E23" s="149"/>
      <c r="F23" s="154"/>
      <c r="G23" s="151" t="str">
        <f t="shared" si="2"/>
        <v>No</v>
      </c>
    </row>
    <row r="24" spans="1:8" ht="14.25" customHeight="1" x14ac:dyDescent="0.3">
      <c r="A24" s="234" t="s">
        <v>317</v>
      </c>
      <c r="B24" s="232"/>
      <c r="C24" s="232"/>
      <c r="D24" s="233"/>
      <c r="E24" s="149"/>
      <c r="F24" s="155"/>
      <c r="G24" s="151" t="s">
        <v>75</v>
      </c>
    </row>
    <row r="25" spans="1:8" ht="14.25" customHeight="1" x14ac:dyDescent="0.3">
      <c r="A25" s="147">
        <v>7</v>
      </c>
      <c r="B25" s="133" t="s">
        <v>318</v>
      </c>
      <c r="C25" s="127" t="s">
        <v>312</v>
      </c>
      <c r="D25" s="127" t="s">
        <v>57</v>
      </c>
      <c r="E25" s="156">
        <v>1</v>
      </c>
      <c r="F25" s="129"/>
      <c r="G25" s="151" t="str">
        <f t="shared" ref="G25:G51" si="3">IF(E25 &gt; 0, "Yes", "No")</f>
        <v>Yes</v>
      </c>
    </row>
    <row r="26" spans="1:8" ht="14.25" customHeight="1" x14ac:dyDescent="0.3">
      <c r="A26" s="147">
        <v>8</v>
      </c>
      <c r="B26" s="133" t="s">
        <v>319</v>
      </c>
      <c r="C26" s="127"/>
      <c r="D26" s="127"/>
      <c r="E26" s="156">
        <v>1</v>
      </c>
      <c r="F26" s="129"/>
      <c r="G26" s="151" t="str">
        <f t="shared" si="3"/>
        <v>Yes</v>
      </c>
    </row>
    <row r="27" spans="1:8" ht="14.25" customHeight="1" x14ac:dyDescent="0.3">
      <c r="A27" s="147">
        <v>9</v>
      </c>
      <c r="B27" s="126" t="s">
        <v>320</v>
      </c>
      <c r="C27" s="127" t="s">
        <v>309</v>
      </c>
      <c r="D27" s="127" t="s">
        <v>310</v>
      </c>
      <c r="E27" s="156">
        <v>60</v>
      </c>
      <c r="F27" s="132"/>
      <c r="G27" s="151" t="str">
        <f t="shared" si="3"/>
        <v>Yes</v>
      </c>
    </row>
    <row r="28" spans="1:8" ht="14.25" customHeight="1" x14ac:dyDescent="0.3">
      <c r="A28" s="147">
        <v>10</v>
      </c>
      <c r="B28" s="126" t="s">
        <v>321</v>
      </c>
      <c r="C28" s="127" t="s">
        <v>309</v>
      </c>
      <c r="D28" s="127" t="s">
        <v>310</v>
      </c>
      <c r="E28" s="156">
        <v>150</v>
      </c>
      <c r="F28" s="129"/>
      <c r="G28" s="151" t="str">
        <f t="shared" si="3"/>
        <v>Yes</v>
      </c>
    </row>
    <row r="29" spans="1:8" ht="14.25" customHeight="1" x14ac:dyDescent="0.3">
      <c r="A29" s="147">
        <v>11</v>
      </c>
      <c r="B29" s="133" t="s">
        <v>322</v>
      </c>
      <c r="C29" s="127" t="s">
        <v>5</v>
      </c>
      <c r="D29" s="127" t="s">
        <v>323</v>
      </c>
      <c r="E29" s="156">
        <v>1</v>
      </c>
      <c r="F29" s="129"/>
      <c r="G29" s="151" t="str">
        <f t="shared" si="3"/>
        <v>Yes</v>
      </c>
      <c r="H29" s="157" t="s">
        <v>373</v>
      </c>
    </row>
    <row r="30" spans="1:8" ht="14.25" customHeight="1" x14ac:dyDescent="0.3">
      <c r="A30" s="147">
        <v>12</v>
      </c>
      <c r="B30" s="133" t="s">
        <v>324</v>
      </c>
      <c r="C30" s="127" t="s">
        <v>5</v>
      </c>
      <c r="D30" s="127" t="s">
        <v>57</v>
      </c>
      <c r="E30" s="156">
        <v>1</v>
      </c>
      <c r="F30" s="129"/>
      <c r="G30" s="151" t="str">
        <f t="shared" si="3"/>
        <v>Yes</v>
      </c>
    </row>
    <row r="31" spans="1:8" ht="14.25" customHeight="1" x14ac:dyDescent="0.3">
      <c r="A31" s="147">
        <v>13</v>
      </c>
      <c r="B31" s="133" t="s">
        <v>325</v>
      </c>
      <c r="C31" s="127"/>
      <c r="D31" s="127" t="s">
        <v>57</v>
      </c>
      <c r="E31" s="156">
        <v>1</v>
      </c>
      <c r="F31" s="129"/>
      <c r="G31" s="151" t="str">
        <f t="shared" si="3"/>
        <v>Yes</v>
      </c>
    </row>
    <row r="32" spans="1:8" ht="14.25" customHeight="1" x14ac:dyDescent="0.3">
      <c r="A32" s="158">
        <v>14</v>
      </c>
      <c r="B32" s="133" t="s">
        <v>326</v>
      </c>
      <c r="C32" s="127"/>
      <c r="D32" s="127" t="s">
        <v>323</v>
      </c>
      <c r="E32" s="156">
        <v>6.7000000000000004E-2</v>
      </c>
      <c r="F32" s="129"/>
      <c r="G32" s="151" t="str">
        <f t="shared" si="3"/>
        <v>Yes</v>
      </c>
    </row>
    <row r="33" spans="1:7" ht="14.25" customHeight="1" x14ac:dyDescent="0.3">
      <c r="A33" s="158">
        <v>15</v>
      </c>
      <c r="B33" s="148" t="s">
        <v>349</v>
      </c>
      <c r="C33" s="147" t="s">
        <v>350</v>
      </c>
      <c r="D33" s="147" t="s">
        <v>333</v>
      </c>
      <c r="E33" s="149">
        <v>1</v>
      </c>
      <c r="F33" s="159"/>
      <c r="G33" s="151" t="str">
        <f t="shared" si="3"/>
        <v>Yes</v>
      </c>
    </row>
    <row r="34" spans="1:7" ht="14.25" customHeight="1" x14ac:dyDescent="0.3">
      <c r="A34" s="158">
        <v>16</v>
      </c>
      <c r="B34" s="160" t="s">
        <v>351</v>
      </c>
      <c r="C34" s="161" t="s">
        <v>352</v>
      </c>
      <c r="D34" s="161" t="s">
        <v>353</v>
      </c>
      <c r="E34" s="162">
        <v>25</v>
      </c>
      <c r="F34" s="159"/>
      <c r="G34" s="151" t="str">
        <f t="shared" si="3"/>
        <v>Yes</v>
      </c>
    </row>
    <row r="35" spans="1:7" ht="14.25" customHeight="1" x14ac:dyDescent="0.3">
      <c r="A35" s="158">
        <v>17</v>
      </c>
      <c r="B35" s="163" t="s">
        <v>374</v>
      </c>
      <c r="C35" s="164" t="s">
        <v>5</v>
      </c>
      <c r="D35" s="164" t="s">
        <v>355</v>
      </c>
      <c r="E35" s="165">
        <v>2</v>
      </c>
      <c r="F35" s="159"/>
      <c r="G35" s="151" t="str">
        <f t="shared" si="3"/>
        <v>Yes</v>
      </c>
    </row>
    <row r="36" spans="1:7" ht="14.25" customHeight="1" x14ac:dyDescent="0.3">
      <c r="A36" s="158">
        <v>18</v>
      </c>
      <c r="B36" s="133" t="s">
        <v>319</v>
      </c>
      <c r="C36" s="127"/>
      <c r="D36" s="127"/>
      <c r="E36" s="156"/>
      <c r="F36" s="159"/>
      <c r="G36" s="151" t="str">
        <f t="shared" si="3"/>
        <v>No</v>
      </c>
    </row>
    <row r="37" spans="1:7" ht="14.25" customHeight="1" x14ac:dyDescent="0.3">
      <c r="A37" s="234" t="s">
        <v>327</v>
      </c>
      <c r="B37" s="235"/>
      <c r="C37" s="235"/>
      <c r="D37" s="236"/>
      <c r="E37" s="166"/>
      <c r="F37" s="155"/>
      <c r="G37" s="151" t="str">
        <f t="shared" si="3"/>
        <v>No</v>
      </c>
    </row>
    <row r="38" spans="1:7" ht="14.25" customHeight="1" x14ac:dyDescent="0.3">
      <c r="A38" s="147">
        <v>19</v>
      </c>
      <c r="B38" s="148" t="s">
        <v>328</v>
      </c>
      <c r="C38" s="147" t="s">
        <v>329</v>
      </c>
      <c r="D38" s="147" t="s">
        <v>330</v>
      </c>
      <c r="E38" s="167" cm="1">
        <f t="array" ref="E38:F38">'Cal.(DW)'!I213:J213</f>
        <v>107</v>
      </c>
      <c r="F38" s="155">
        <v>0</v>
      </c>
      <c r="G38" s="151" t="str">
        <f t="shared" si="3"/>
        <v>Yes</v>
      </c>
    </row>
    <row r="39" spans="1:7" ht="14.25" customHeight="1" x14ac:dyDescent="0.3">
      <c r="A39" s="147">
        <v>20</v>
      </c>
      <c r="B39" s="148" t="s">
        <v>375</v>
      </c>
      <c r="C39" s="147" t="s">
        <v>332</v>
      </c>
      <c r="D39" s="147" t="s">
        <v>333</v>
      </c>
      <c r="E39" s="149">
        <v>7</v>
      </c>
      <c r="F39" s="155"/>
      <c r="G39" s="151" t="str">
        <f t="shared" si="3"/>
        <v>Yes</v>
      </c>
    </row>
    <row r="40" spans="1:7" ht="14.25" customHeight="1" x14ac:dyDescent="0.3">
      <c r="A40" s="147">
        <v>21</v>
      </c>
      <c r="B40" s="148" t="s">
        <v>343</v>
      </c>
      <c r="C40" s="147" t="s">
        <v>344</v>
      </c>
      <c r="D40" s="147" t="s">
        <v>333</v>
      </c>
      <c r="E40" s="149">
        <v>5</v>
      </c>
      <c r="F40" s="155"/>
      <c r="G40" s="151" t="str">
        <f t="shared" si="3"/>
        <v>Yes</v>
      </c>
    </row>
    <row r="41" spans="1:7" ht="14.25" customHeight="1" x14ac:dyDescent="0.3">
      <c r="A41" s="147">
        <v>22</v>
      </c>
      <c r="B41" s="148" t="s">
        <v>345</v>
      </c>
      <c r="C41" s="147" t="s">
        <v>346</v>
      </c>
      <c r="D41" s="147" t="s">
        <v>333</v>
      </c>
      <c r="E41" s="149">
        <v>20</v>
      </c>
      <c r="F41" s="155"/>
      <c r="G41" s="151" t="str">
        <f t="shared" si="3"/>
        <v>Yes</v>
      </c>
    </row>
    <row r="42" spans="1:7" ht="14.25" customHeight="1" x14ac:dyDescent="0.3">
      <c r="A42" s="147">
        <v>23</v>
      </c>
      <c r="B42" s="148" t="s">
        <v>376</v>
      </c>
      <c r="C42" s="147"/>
      <c r="D42" s="147" t="s">
        <v>333</v>
      </c>
      <c r="E42" s="149">
        <v>12</v>
      </c>
      <c r="F42" s="155"/>
      <c r="G42" s="151" t="str">
        <f t="shared" si="3"/>
        <v>Yes</v>
      </c>
    </row>
    <row r="43" spans="1:7" ht="14.25" customHeight="1" x14ac:dyDescent="0.3">
      <c r="A43" s="147">
        <v>24</v>
      </c>
      <c r="B43" s="168" t="s">
        <v>377</v>
      </c>
      <c r="C43" s="147"/>
      <c r="D43" s="147" t="s">
        <v>333</v>
      </c>
      <c r="E43" s="149">
        <v>18</v>
      </c>
      <c r="F43" s="155"/>
      <c r="G43" s="151" t="str">
        <f t="shared" si="3"/>
        <v>Yes</v>
      </c>
    </row>
    <row r="44" spans="1:7" ht="14.25" customHeight="1" x14ac:dyDescent="0.3">
      <c r="A44" s="147">
        <v>25</v>
      </c>
      <c r="B44" s="168" t="s">
        <v>341</v>
      </c>
      <c r="C44" s="147"/>
      <c r="D44" s="147" t="s">
        <v>333</v>
      </c>
      <c r="E44" s="149">
        <v>12</v>
      </c>
      <c r="F44" s="155"/>
      <c r="G44" s="151" t="str">
        <f t="shared" si="3"/>
        <v>Yes</v>
      </c>
    </row>
    <row r="45" spans="1:7" ht="27.6" x14ac:dyDescent="0.3">
      <c r="A45" s="147">
        <v>26</v>
      </c>
      <c r="B45" s="148" t="s">
        <v>331</v>
      </c>
      <c r="C45" s="147"/>
      <c r="D45" s="147" t="s">
        <v>333</v>
      </c>
      <c r="E45" s="149">
        <v>7</v>
      </c>
      <c r="F45" s="155"/>
      <c r="G45" s="151" t="str">
        <f t="shared" si="3"/>
        <v>Yes</v>
      </c>
    </row>
    <row r="46" spans="1:7" ht="14.25" customHeight="1" x14ac:dyDescent="0.3">
      <c r="A46" s="147">
        <v>27</v>
      </c>
      <c r="B46" s="148" t="s">
        <v>378</v>
      </c>
      <c r="C46" s="147"/>
      <c r="D46" s="147" t="s">
        <v>333</v>
      </c>
      <c r="E46" s="149">
        <v>12</v>
      </c>
      <c r="F46" s="155"/>
      <c r="G46" s="151" t="str">
        <f t="shared" si="3"/>
        <v>Yes</v>
      </c>
    </row>
    <row r="47" spans="1:7" ht="27.6" x14ac:dyDescent="0.3">
      <c r="A47" s="147">
        <v>28</v>
      </c>
      <c r="B47" s="148" t="s">
        <v>379</v>
      </c>
      <c r="C47" s="147"/>
      <c r="D47" s="147" t="s">
        <v>333</v>
      </c>
      <c r="E47" s="149">
        <v>12</v>
      </c>
      <c r="F47" s="155"/>
      <c r="G47" s="151" t="str">
        <f t="shared" si="3"/>
        <v>Yes</v>
      </c>
    </row>
    <row r="48" spans="1:7" ht="14.25" customHeight="1" x14ac:dyDescent="0.3">
      <c r="A48" s="147">
        <v>29</v>
      </c>
      <c r="B48" s="148" t="s">
        <v>380</v>
      </c>
      <c r="C48" s="147"/>
      <c r="D48" s="147" t="s">
        <v>333</v>
      </c>
      <c r="E48" s="149">
        <v>12</v>
      </c>
      <c r="F48" s="155"/>
      <c r="G48" s="151" t="str">
        <f t="shared" si="3"/>
        <v>Yes</v>
      </c>
    </row>
    <row r="49" spans="1:7" ht="14.25" customHeight="1" x14ac:dyDescent="0.3">
      <c r="A49" s="147">
        <v>30</v>
      </c>
      <c r="B49" s="148" t="s">
        <v>381</v>
      </c>
      <c r="C49" s="147" t="s">
        <v>5</v>
      </c>
      <c r="D49" s="147" t="s">
        <v>333</v>
      </c>
      <c r="E49" s="149">
        <v>3</v>
      </c>
      <c r="F49" s="155"/>
      <c r="G49" s="151" t="str">
        <f t="shared" si="3"/>
        <v>Yes</v>
      </c>
    </row>
    <row r="50" spans="1:7" ht="14.25" customHeight="1" x14ac:dyDescent="0.3">
      <c r="A50" s="147">
        <v>31</v>
      </c>
      <c r="B50" s="148" t="s">
        <v>382</v>
      </c>
      <c r="C50" s="147" t="s">
        <v>5</v>
      </c>
      <c r="D50" s="147" t="s">
        <v>57</v>
      </c>
      <c r="E50" s="149">
        <v>5</v>
      </c>
      <c r="F50" s="155"/>
      <c r="G50" s="151" t="str">
        <f t="shared" si="3"/>
        <v>Yes</v>
      </c>
    </row>
    <row r="51" spans="1:7" ht="15" customHeight="1" x14ac:dyDescent="0.3">
      <c r="G51" s="151" t="str">
        <f t="shared" si="3"/>
        <v>No</v>
      </c>
    </row>
  </sheetData>
  <autoFilter ref="A2:H50" xr:uid="{00000000-0009-0000-0000-000005000000}"/>
  <mergeCells count="5">
    <mergeCell ref="A1:E1"/>
    <mergeCell ref="A3:D3"/>
    <mergeCell ref="A8:D8"/>
    <mergeCell ref="A24:D24"/>
    <mergeCell ref="A37:D37"/>
  </mergeCells>
  <pageMargins left="0.7" right="0.7" top="0.75" bottom="0.75" header="0" footer="0"/>
  <pageSetup orientation="portrait" r:id="rId1"/>
  <colBreaks count="1" manualBreakCount="1">
    <brk id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Cal.(DW)</vt:lpstr>
      <vt:lpstr>BOM-(DW)</vt:lpstr>
      <vt:lpstr>BOM-(HA)</vt:lpstr>
      <vt:lpstr>'Cal.(DW)'!_Toc40480675</vt:lpstr>
      <vt:lpstr>'BOM-(DW)'!Print_Area</vt:lpstr>
      <vt:lpstr>'Cal.(DW)'!Print_Area</vt:lpstr>
      <vt:lpstr>'BOM-(DW)'!Print_Titles</vt:lpstr>
      <vt:lpstr>'Cal.(DW)'!Print_Titles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Panchel</dc:creator>
  <cp:lastModifiedBy>Rahul Panchel</cp:lastModifiedBy>
  <dcterms:created xsi:type="dcterms:W3CDTF">2026-05-25T07:15:39Z</dcterms:created>
  <dcterms:modified xsi:type="dcterms:W3CDTF">2026-05-25T12:12:53Z</dcterms:modified>
</cp:coreProperties>
</file>